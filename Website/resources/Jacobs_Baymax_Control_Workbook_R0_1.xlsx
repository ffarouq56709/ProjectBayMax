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1bf0ff83a4493f" /></Relationships>
</file>

<file path=xl/workbook.xml><?xml version="1.0" encoding="utf-8"?>
<x:workbook xmlns:x="http://schemas.openxmlformats.org/spreadsheetml/2006/main">
  <x:sheets>
    <x:sheet xmlns:r="http://schemas.openxmlformats.org/officeDocument/2006/relationships" name="Overview" sheetId="1" r:id="R42ca426875d949fd"/>
    <x:sheet xmlns:r="http://schemas.openxmlformats.org/officeDocument/2006/relationships" name="Mass" sheetId="2" r:id="R639e66022aea4153"/>
    <x:sheet xmlns:r="http://schemas.openxmlformats.org/officeDocument/2006/relationships" name="Budget" sheetId="3" r:id="R9f974abaafa14fae"/>
    <x:sheet xmlns:r="http://schemas.openxmlformats.org/officeDocument/2006/relationships" name="Engineering" sheetId="4" r:id="R02597298de554a3b"/>
    <x:sheet xmlns:r="http://schemas.openxmlformats.org/officeDocument/2006/relationships" name="Requirements" sheetId="5" r:id="R1a59104a373f4587"/>
    <x:sheet xmlns:r="http://schemas.openxmlformats.org/officeDocument/2006/relationships" name="Verification" sheetId="6" r:id="Rb37faacf7e954d64"/>
    <x:sheet xmlns:r="http://schemas.openxmlformats.org/officeDocument/2006/relationships" name="Hazards" sheetId="7" r:id="R4fdc65e49a264a3a"/>
    <x:sheet xmlns:r="http://schemas.openxmlformats.org/officeDocument/2006/relationships" name="Backlog" sheetId="8" r:id="Ra883aeda9e5c4dd2"/>
    <x:sheet xmlns:r="http://schemas.openxmlformats.org/officeDocument/2006/relationships" name="Make Buy" sheetId="9" r:id="Ra13dc43f10ad4662"/>
    <x:sheet xmlns:r="http://schemas.openxmlformats.org/officeDocument/2006/relationships" name="Roadmap" sheetId="10" r:id="Rb6263b9bc0794020"/>
    <x:sheet xmlns:r="http://schemas.openxmlformats.org/officeDocument/2006/relationships" name="Assumptions" sheetId="11" r:id="Rae16e57e71914506"/>
    <x:sheet xmlns:r="http://schemas.openxmlformats.org/officeDocument/2006/relationships" name="Decisions" sheetId="12" r:id="R3d553d76d283464c"/>
    <x:sheet xmlns:r="http://schemas.openxmlformats.org/officeDocument/2006/relationships" name="Access" sheetId="13" r:id="Rb490165c71644f6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quot;$&quot;#,##0.00;(&quot;$&quot;#,##0.00);&quot;-&quot;"/>
    <x:numFmt numFmtId="202" formatCode="0.0000"/>
    <x:numFmt numFmtId="203" formatCode="&quot;$&quot;#,##0.00"/>
  </x:numFmts>
  <x:fonts count="8">
    <x:font>
      <x:sz val="11"/>
      <x:name val="Carlito"/>
    </x:font>
    <x:font>
      <x:sz val="10"/>
      <x:color rgb="FF18252B"/>
      <x:name val="Arial"/>
    </x:font>
    <x:font>
      <x:b/>
      <x:sz val="14"/>
      <x:color rgb="FF18252B"/>
      <x:name val="Arial"/>
    </x:font>
    <x:font>
      <x:b/>
      <x:sz val="10"/>
      <x:color rgb="FFFFFFFF"/>
      <x:name val="Arial"/>
    </x:font>
    <x:font>
      <x:sz val="10"/>
      <x:color rgb="FF174A93"/>
      <x:name val="Arial"/>
    </x:font>
    <x:font>
      <x:sz val="10"/>
      <x:name val="Arial"/>
    </x:font>
    <x:font>
      <x:b/>
      <x:sz val="13"/>
      <x:name val="Arial"/>
    </x:font>
    <x:font>
      <x:sz val="10"/>
      <x:color rgb="FFFFFFFF"/>
      <x:name val="Arial"/>
    </x:font>
  </x:fonts>
  <x:fills count="5">
    <x:fill>
      <x:patternFill patternType="none"/>
    </x:fill>
    <x:fill>
      <x:patternFill patternType="gray125"/>
    </x:fill>
    <x:fill>
      <x:patternFill patternType="solid">
        <x:fgColor rgb="FF344650"/>
      </x:patternFill>
    </x:fill>
    <x:fill>
      <x:patternFill patternType="solid">
        <x:fgColor rgb="FFF1F5F5"/>
      </x:patternFill>
    </x:fill>
    <x:fill>
      <x:patternFill patternType="solid">
        <x:fgColor rgb="FFFFF0C2"/>
      </x:patternFill>
    </x:fill>
  </x:fills>
  <x:borders count="5">
    <x:border>
      <x:left/>
      <x:right/>
      <x:top/>
      <x:bottom/>
      <x:diagonal/>
    </x:border>
    <x:border>
      <x:left/>
      <x:right/>
      <x:top/>
      <x:bottom style="thin">
        <x:color rgb="FFA6B5B8"/>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200" fontId="4" fillId="4"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0" fillId="0" borderId="0" xfId="0" applyNumberFormat="1" applyFont="1" applyFill="1" applyBorder="1"/>
    <x:xf numFmtId="0" fontId="5" fillId="0" borderId="0" xfId="0" applyNumberFormat="1" applyFont="1" applyFill="1" applyBorder="1"/>
    <x:xf numFmtId="200" fontId="5" fillId="0" borderId="0" xfId="0" applyNumberFormat="1" applyFont="1" applyFill="1" applyBorder="1"/>
    <x:xf numFmtId="0" fontId="0" fillId="0"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201" fontId="4" fillId="4"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0" fillId="0" borderId="0" xfId="0" applyNumberFormat="1" applyFont="1" applyFill="1" applyBorder="1"/>
    <x:xf numFmtId="201" fontId="5" fillId="0" borderId="0" xfId="0" applyNumberFormat="1" applyFont="1" applyFill="1" applyBorder="1"/>
    <x:xf numFmtId="0" fontId="5" fillId="0" borderId="0" xfId="0" applyNumberFormat="1" applyFont="1" applyFill="1" applyBorder="1" applyAlignment="1">
      <x:alignment wrapText="1"/>
    </x:xf>
    <x:xf numFmtId="201" fontId="5" fillId="4" borderId="0" xfId="0" applyNumberFormat="1" applyFont="1" applyFill="1" applyBorder="1"/>
    <x:xf numFmtId="201" fontId="4" fillId="4" borderId="0" xfId="0" applyNumberFormat="1" applyFont="1" applyFill="1" applyBorder="1"/>
    <x:xf numFmtId="202" fontId="4" fillId="4"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3" borderId="0" xfId="0" applyNumberFormat="1" applyFont="1" applyFill="1" applyBorder="1" applyAlignment="1">
      <x:alignment vertical="center" wrapText="1"/>
    </x:xf>
    <x:xf numFmtId="0" fontId="1" fillId="4" borderId="0" xfId="0" applyNumberFormat="1" applyFont="1" applyFill="1" applyBorder="1" applyAlignment="1">
      <x:alignment horizontal="center" vertical="center" wrapText="1"/>
    </x:xf>
    <x:xf numFmtId="0" fontId="6" fillId="0" borderId="0" xfId="0" applyNumberFormat="1" applyFont="1" applyFill="1" applyBorder="1"/>
    <x:xf numFmtId="0" fontId="5" fillId="2" borderId="0" xfId="0" applyNumberFormat="1" applyFont="1" applyFill="1" applyBorder="1" applyAlignment="1">
      <x:alignment wrapText="1"/>
    </x:xf>
    <x:xf numFmtId="0" fontId="7"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7" fillId="2" borderId="0" xfId="0" applyNumberFormat="1" applyFont="1" applyFill="1" applyBorder="1" applyAlignment="1">
      <x:alignment vertical="center" wrapText="1"/>
    </x:xf>
    <x:xf numFmtId="200" fontId="5" fillId="0" borderId="0" xfId="0" applyNumberFormat="1" applyFont="1" applyFill="1" applyBorder="1" applyAlignment="1">
      <x:alignment vertical="center" wrapText="1"/>
    </x:xf>
    <x:xf numFmtId="203" fontId="5" fillId="0" borderId="0" xfId="0" applyNumberFormat="1" applyFont="1" applyFill="1" applyBorder="1" applyAlignment="1">
      <x:alignment vertical="center" wrapText="1"/>
    </x:xf>
  </x:cellXfs>
  <x:cellStyles count="1">
    <x:cellStyle name="Normal" xfId="0"/>
  </x:cellStyles>
  <x:dxfs count="26">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
      <x:font>
        <x:color rgb="FFA52420"/>
      </x:font>
      <x:fill>
        <x:patternFill patternType="solid">
          <x:bgColor rgb="FFFBE3E1"/>
        </x:patternFill>
      </x:fill>
    </x:dxf>
    <x:dxf>
      <x:font>
        <x:b/>
        <x:color rgb="FFA52420"/>
      </x:font>
      <x:fill>
        <x:patternFill patternType="solid">
          <x:bgColor rgb="FFFBE3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9db5507eaa4124" /><Relationship Type="http://schemas.openxmlformats.org/officeDocument/2006/relationships/theme" Target="/xl/theme/theme1.xml" Id="Rcddadd2caaa549e6" /><Relationship Type="http://schemas.openxmlformats.org/officeDocument/2006/relationships/sharedStrings" Target="/xl/sharedStrings.xml" Id="Ra4db6ddfb1214bda" /><Relationship Type="http://schemas.openxmlformats.org/officeDocument/2006/relationships/worksheet" Target="/xl/worksheets/sheet1.xml" Id="R42ca426875d949fd" /><Relationship Type="http://schemas.openxmlformats.org/officeDocument/2006/relationships/worksheet" Target="/xl/worksheets/sheet2.xml" Id="R639e66022aea4153" /><Relationship Type="http://schemas.openxmlformats.org/officeDocument/2006/relationships/worksheet" Target="/xl/worksheets/sheet3.xml" Id="R9f974abaafa14fae" /><Relationship Type="http://schemas.openxmlformats.org/officeDocument/2006/relationships/worksheet" Target="/xl/worksheets/sheet4.xml" Id="R02597298de554a3b" /><Relationship Type="http://schemas.openxmlformats.org/officeDocument/2006/relationships/worksheet" Target="/xl/worksheets/sheet5.xml" Id="R1a59104a373f4587" /><Relationship Type="http://schemas.openxmlformats.org/officeDocument/2006/relationships/worksheet" Target="/xl/worksheets/sheet6.xml" Id="Rb37faacf7e954d64" /><Relationship Type="http://schemas.openxmlformats.org/officeDocument/2006/relationships/worksheet" Target="/xl/worksheets/sheet7.xml" Id="R4fdc65e49a264a3a" /><Relationship Type="http://schemas.openxmlformats.org/officeDocument/2006/relationships/worksheet" Target="/xl/worksheets/sheet8.xml" Id="Ra883aeda9e5c4dd2" /><Relationship Type="http://schemas.openxmlformats.org/officeDocument/2006/relationships/worksheet" Target="/xl/worksheets/sheet9.xml" Id="Ra13dc43f10ad4662" /><Relationship Type="http://schemas.openxmlformats.org/officeDocument/2006/relationships/worksheet" Target="/xl/worksheets/sheet10.xml" Id="Rb6263b9bc0794020" /><Relationship Type="http://schemas.openxmlformats.org/officeDocument/2006/relationships/worksheet" Target="/xl/worksheets/sheet11.xml" Id="Rae16e57e71914506" /><Relationship Type="http://schemas.openxmlformats.org/officeDocument/2006/relationships/worksheet" Target="/xl/worksheets/sheet12.xml" Id="R3d553d76d283464c" /><Relationship Type="http://schemas.openxmlformats.org/officeDocument/2006/relationships/worksheet" Target="/xl/worksheets/sheet13.xml" Id="Rb490165c71644f6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44650"/>
  </x:sheetPr>
  <x:sheetViews>
    <x:sheetView showGridLines="0" workbookViewId="0"/>
  </x:sheetViews>
  <x:sheetFormatPr defaultRowHeight="15"/>
  <x:cols>
    <x:col min="1" max="1" width="51" hidden="0" customWidth="1"/>
    <x:col min="2" max="2" width="42" hidden="0" customWidth="1"/>
    <x:col min="3" max="3" width="70" hidden="0" customWidth="1"/>
    <x:col min="4" max="4" width="20" hidden="0" customWidth="1"/>
    <x:col min="5" max="5" width="20" hidden="0" customWidth="1"/>
    <x:col min="6" max="6" width="20" hidden="0" customWidth="1"/>
  </x:cols>
  <x:sheetData>
    <x:row r="1">
      <x:c r="A1" s="1"/>
      <x:c r="B1" s="1"/>
      <x:c r="C1" s="1"/>
      <x:c r="D1" s="1"/>
      <x:c r="E1" s="1"/>
      <x:c r="F1" s="1"/>
    </x:row>
    <x:row r="2" ht="25" customHeight="1">
      <x:c r="A2" s="2" t="str">
        <x:v>Jacobs Baymax project controls</x:v>
      </x:c>
      <x:c r="B2" s="1"/>
      <x:c r="C2" s="1"/>
      <x:c r="D2" s="1"/>
      <x:c r="E2" s="1"/>
      <x:c r="F2" s="1"/>
    </x:row>
    <x:row r="3">
      <x:c r="A3" s="1" t="str">
        <x:v>R0.1</x:v>
      </x:c>
      <x:c r="B3" s="1" t="str">
        <x:v>Owner Faisal Farouq</x:v>
      </x:c>
      <x:c r="C3" s="1" t="str">
        <x:v>2026-10-23</x:v>
      </x:c>
      <x:c r="D3" s="1"/>
      <x:c r="E3" s="1"/>
      <x:c r="F3" s="1"/>
    </x:row>
    <x:row r="4">
      <x:c r="A4" s="3"/>
      <x:c r="B4" s="3"/>
      <x:c r="C4" s="3"/>
      <x:c r="D4" s="3"/>
      <x:c r="E4" s="3"/>
      <x:c r="F4" s="3"/>
    </x:row>
    <x:row r="5" ht="39" customHeight="1">
      <x:c r="A5" s="7" t="str">
        <x:v>Control</x:v>
      </x:c>
      <x:c r="B5" s="7" t="str">
        <x:v>Value</x:v>
      </x:c>
      <x:c r="C5" s="7" t="str">
        <x:v>Meaning</x:v>
      </x:c>
    </x:row>
    <x:row r="6" ht="39" customHeight="1">
      <x:c r="A6" s="40" t="str">
        <x:v>Engineering baseline</x:v>
      </x:c>
      <x:c r="B6" s="40" t="str">
        <x:v>REWORK</x:v>
      </x:c>
      <x:c r="C6" s="40" t="str">
        <x:v>Planning documents exist; implementation and independent reviews remain open.</x:v>
      </x:c>
    </x:row>
    <x:row r="7" ht="39" customHeight="1">
      <x:c r="A7" s="40" t="str">
        <x:v>Major procurement</x:v>
      </x:c>
      <x:c r="B7" s="40" t="str">
        <x:f>'Budget'!E31</x:f>
        <x:v>BLOCKED COST</x:v>
      </x:c>
      <x:c r="C7" s="40" t="str">
        <x:v>No expensive orders or physical fabrication authorized.</x:v>
      </x:c>
    </x:row>
    <x:row r="8" ht="39" customHeight="1">
      <x:c r="A8" s="40" t="str">
        <x:v>Operating mass allocation kg</x:v>
      </x:c>
      <x:c r="B8" s="43" t="n">
        <x:f>'Mass'!C22</x:f>
        <x:v>55</x:v>
      </x:c>
      <x:c r="C8" s="40" t="str">
        <x:v>Allocation only; no CAD or measured mass.</x:v>
      </x:c>
    </x:row>
    <x:row r="9" ht="39" customHeight="1">
      <x:c r="A9" s="40" t="str">
        <x:v>Component mass allocation kg</x:v>
      </x:c>
      <x:c r="B9" s="43" t="n">
        <x:f>'Mass'!C20</x:f>
        <x:v>47.8</x:v>
      </x:c>
      <x:c r="C9" s="40" t="str">
        <x:v>Unassigned reserve excluded from component COM.</x:v>
      </x:c>
    </x:row>
    <x:row r="10" ht="39" customHeight="1">
      <x:c r="A10" s="40" t="str">
        <x:v>Growth reserve kg</x:v>
      </x:c>
      <x:c r="B10" s="43" t="n">
        <x:f>'Mass'!C21</x:f>
        <x:v>7.2</x:v>
      </x:c>
      <x:c r="C10" s="40" t="str">
        <x:v>Headroom, not extra hardware.</x:v>
      </x:c>
    </x:row>
    <x:row r="11" ht="39" customHeight="1">
      <x:c r="A11" s="40" t="str">
        <x:v>Financial ceiling allocation USD</x:v>
      </x:c>
      <x:c r="B11" s="44" t="n">
        <x:f>'Budget'!E21</x:f>
        <x:v>10000</x:v>
      </x:c>
      <x:c r="C11" s="40" t="str">
        <x:v>Includes unquoted safety and review allowances.</x:v>
      </x:c>
    </x:row>
    <x:row r="12" ht="39" customHeight="1">
      <x:c r="A12" s="40" t="str">
        <x:v>Commercial reference total USD</x:v>
      </x:c>
      <x:c r="B12" s="44" t="n">
        <x:f>'Budget'!E28</x:f>
        <x:v>15899</x:v>
      </x:c>
      <x:c r="C12" s="40" t="str">
        <x:v>Ten modules at displayed starting price; suitability and landed price unresolved.</x:v>
      </x:c>
    </x:row>
    <x:row r="13" ht="39" customHeight="1">
      <x:c r="A13" s="40" t="str">
        <x:v>Reference excess over cap USD</x:v>
      </x:c>
      <x:c r="B13" s="44" t="n">
        <x:f>'Budget'!E29</x:f>
        <x:v>5899</x:v>
      </x:c>
      <x:c r="C13" s="40" t="str">
        <x:v>Cap unchanged; no increase approved.</x:v>
      </x:c>
    </x:row>
    <x:row r="14" ht="39" customHeight="1">
      <x:c r="A14" s="40" t="str">
        <x:v>Requirements</x:v>
      </x:c>
      <x:c r="B14" s="40" t="n">
        <x:v>64</x:v>
      </x:c>
      <x:c r="C14" s="40" t="str">
        <x:v>All mapped to planned verification.</x:v>
      </x:c>
    </x:row>
    <x:row r="15" ht="39" customHeight="1">
      <x:c r="A15" s="40" t="str">
        <x:v>Planned verification protocols</x:v>
      </x:c>
      <x:c r="B15" s="40" t="n">
        <x:v>26</x:v>
      </x:c>
      <x:c r="C15" s="40" t="str">
        <x:v>No system verification run executed.</x:v>
      </x:c>
    </x:row>
    <x:row r="16" ht="39" customHeight="1">
      <x:c r="A16" s="40" t="str">
        <x:v>Executed system tests</x:v>
      </x:c>
      <x:c r="B16" s="40" t="n">
        <x:v>0</x:v>
      </x:c>
      <x:c r="C16" s="40" t="str">
        <x:v>No robot, software-feature or simulation pass claimed.</x:v>
      </x:c>
    </x:row>
    <x:row r="17" ht="39" customHeight="1">
      <x:c r="A17" s="40" t="str">
        <x:v>Hazard and ethical records</x:v>
      </x:c>
      <x:c r="B17" s="40" t="n">
        <x:v>20</x:v>
      </x:c>
      <x:c r="C17" s="40" t="str">
        <x:v>Likelihood and residual risk unassessed.</x:v>
      </x:c>
    </x:row>
    <x:row r="18" ht="39" customHeight="1">
      <x:c r="A18" s="40" t="str">
        <x:v>Owner decisions</x:v>
      </x:c>
      <x:c r="B18" s="40" t="n">
        <x:v>5</x:v>
      </x:c>
      <x:c r="C18" s="40" t="str">
        <x:v>See Decisions before architecture or procurement release.</x:v>
      </x:c>
    </x:row>
    <x:row r="19" ht="39" customHeight="1">
      <x:c r="A19" s="40" t="str">
        <x:v>Next dependency</x:v>
      </x:c>
      <x:c r="B19" s="40" t="str">
        <x:v>G0 owner dispositions</x:v>
      </x:c>
      <x:c r="C19" s="40" t="str">
        <x:v>Resolve D-01 through D-05 and appoint qualified people.</x:v>
      </x:c>
    </x:row>
    <x:row r="22">
      <x:c r="A22" s="29" t="str">
        <x:v>Use amber numeric inputs to revise engineering allowances. Formula cells update budgets, mass, screening calculations and feature ranks. Requirement and test dispositions remain manual evidence judgments. Changes here do not automatically update the report or CSV sources; reconcile a new revision before release.</x:v>
      </x:c>
    </x:row>
    <x:row r="27">
      <x:c r="A27" s="29" t="str">
        <x:v>Provisional values are not approved operating limits. No real patient data, live EHR, clinical claim, person support, cargo walking, unsupervised high-energy motion or unapproved public operation.</x:v>
      </x:c>
    </x:row>
  </x:sheetData>
  <x:mergeCells>
    <x:mergeCell ref="A22:C25"/>
    <x:mergeCell ref="A27:C29"/>
  </x:mergeCells>
  <x:conditionalFormatting sqref="A1:F27">
    <x:cfRule type="containsText" dxfId="0" priority="1" operator="containsText" text="BLOCKED"/>
    <x:cfRule type="containsText" dxfId="1" priority="2" operator="containsText" text="MISSING INPUT"/>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47" hidden="0" customWidth="1"/>
    <x:col min="3" max="3" width="17" hidden="0" customWidth="1"/>
    <x:col min="4" max="4" width="17" hidden="0" customWidth="1"/>
    <x:col min="5" max="5" width="22" hidden="0" customWidth="1"/>
    <x:col min="6" max="6" width="75" hidden="0" customWidth="1"/>
  </x:cols>
  <x:sheetData>
    <x:row r="1">
      <x:c r="A1" s="1"/>
      <x:c r="B1" s="1"/>
      <x:c r="C1" s="1"/>
      <x:c r="D1" s="1"/>
      <x:c r="E1" s="1"/>
      <x:c r="F1" s="1"/>
    </x:row>
    <x:row r="2" ht="25" customHeight="1">
      <x:c r="A2" s="2" t="str">
        <x:v>Mass</x:v>
      </x:c>
      <x:c r="B2" s="1"/>
      <x:c r="C2" s="1"/>
      <x:c r="D2" s="1"/>
      <x:c r="E2" s="1"/>
      <x:c r="F2" s="1"/>
    </x:row>
    <x:row r="3">
      <x:c r="A3" s="1" t="str">
        <x:v>R0.1</x:v>
      </x:c>
      <x:c r="B3" s="1" t="str">
        <x:v>Owner Faisal Farouq</x:v>
      </x:c>
      <x:c r="C3" s="1" t="str">
        <x:v>2026-10-23</x:v>
      </x:c>
      <x:c r="D3" s="1"/>
      <x:c r="E3" s="1"/>
      <x:c r="F3" s="1"/>
    </x:row>
    <x:row r="4">
      <x:c r="A4" s="3"/>
      <x:c r="B4" s="3"/>
      <x:c r="C4" s="3"/>
      <x:c r="D4" s="3"/>
      <x:c r="E4" s="3"/>
      <x:c r="F4" s="3"/>
    </x:row>
    <x:row r="5" ht="34" customHeight="1">
      <x:c r="A5" s="9" t="str">
        <x:v>ID</x:v>
      </x:c>
      <x:c r="B5" s="10" t="str">
        <x:v>Onboard subsystem</x:v>
      </x:c>
      <x:c r="C5" s="10" t="str">
        <x:v>Allocation kg</x:v>
      </x:c>
      <x:c r="D5" s="10" t="str">
        <x:v>Assumed z m</x:v>
      </x:c>
      <x:c r="E5" s="10" t="str">
        <x:v>Mass moment kg m</x:v>
      </x:c>
      <x:c r="F5" s="11" t="str">
        <x:v>Basis</x:v>
      </x:c>
    </x:row>
    <x:row r="6" ht="29" customHeight="1">
      <x:c r="A6" s="12" t="str">
        <x:v>M-01</x:v>
      </x:c>
      <x:c r="B6" s="12" t="str">
        <x:v>Primary structure and load-bearing joint brackets</x:v>
      </x:c>
      <x:c r="C6" s="16" t="n">
        <x:v>12</x:v>
      </x:c>
      <x:c r="D6" s="16" t="n">
        <x:v>0.9</x:v>
      </x:c>
      <x:c r="E6" s="17" t="n">
        <x:f>IF(COUNT(C6:D6)=2,C6*D6,"MISSING INPUT")</x:f>
        <x:v>10.8</x:v>
      </x:c>
      <x:c r="F6" s="12" t="str">
        <x:v>Concept allowance; FEA and drawings absent</x:v>
      </x:c>
    </x:row>
    <x:row r="7" ht="29" customHeight="1">
      <x:c r="A7" s="5" t="str">
        <x:v>M-02</x:v>
      </x:c>
      <x:c r="B7" s="5" t="str">
        <x:v>Ten lower-body actuators and transmissions</x:v>
      </x:c>
      <x:c r="C7" s="16" t="n">
        <x:v>14</x:v>
      </x:c>
      <x:c r="D7" s="16" t="n">
        <x:v>0.61</x:v>
      </x:c>
      <x:c r="E7" s="18" t="n">
        <x:f>IF(COUNT(C7:D7)=2,C7*D7,"MISSING INPUT")</x:f>
        <x:v>8.54</x:v>
      </x:c>
      <x:c r="F7" s="5" t="str">
        <x:v>Includes mounting and transmission allowance; no actuator selection</x:v>
      </x:c>
    </x:row>
    <x:row r="8" ht="29" customHeight="1">
      <x:c r="A8" s="12" t="str">
        <x:v>M-03</x:v>
      </x:c>
      <x:c r="B8" s="12" t="str">
        <x:v>Feet soles and ground-contact sensing</x:v>
      </x:c>
      <x:c r="C8" s="16" t="n">
        <x:v>2.5</x:v>
      </x:c>
      <x:c r="D8" s="16" t="n">
        <x:v>0.07</x:v>
      </x:c>
      <x:c r="E8" s="17" t="n">
        <x:f>IF(COUNT(C8:D8)=2,C8*D8,"MISSING INPUT")</x:f>
        <x:v>0.17500000000000002</x:v>
      </x:c>
      <x:c r="F8" s="12" t="str">
        <x:v>Both broad feet</x:v>
      </x:c>
    </x:row>
    <x:row r="9" ht="29" customHeight="1">
      <x:c r="A9" s="5" t="str">
        <x:v>M-04</x:v>
      </x:c>
      <x:c r="B9" s="5" t="str">
        <x:v>Battery pack with enclosure and BMS</x:v>
      </x:c>
      <x:c r="C9" s="16" t="n">
        <x:v>3.5</x:v>
      </x:c>
      <x:c r="D9" s="16" t="n">
        <x:v>0.85</x:v>
      </x:c>
      <x:c r="E9" s="18" t="n">
        <x:f>IF(COUNT(C9:D9)=2,C9*D9,"MISSING INPUT")</x:f>
        <x:v>2.975</x:v>
      </x:c>
      <x:c r="F9" s="5" t="str">
        <x:v>48 V 8 Ah is an energy example only</x:v>
      </x:c>
    </x:row>
    <x:row r="10" ht="29" customHeight="1">
      <x:c r="A10" s="12" t="str">
        <x:v>M-05</x:v>
      </x:c>
      <x:c r="B10" s="12" t="str">
        <x:v>Protected power distribution and converters</x:v>
      </x:c>
      <x:c r="C10" s="16" t="n">
        <x:v>1.4</x:v>
      </x:c>
      <x:c r="D10" s="16" t="n">
        <x:v>0.9</x:v>
      </x:c>
      <x:c r="E10" s="17" t="n">
        <x:f>IF(COUNT(C10:D10)=2,C10*D10,"MISSING INPUT")</x:f>
        <x:v>1.26</x:v>
      </x:c>
      <x:c r="F10" s="12" t="str">
        <x:v>Includes fusing, contactors and isolation hardware</x:v>
      </x:c>
    </x:row>
    <x:row r="11" ht="29" customHeight="1">
      <x:c r="A11" s="5" t="str">
        <x:v>M-06</x:v>
      </x:c>
      <x:c r="B11" s="5" t="str">
        <x:v>Independent safety controls and stops</x:v>
      </x:c>
      <x:c r="C11" s="16" t="n">
        <x:v>0.6</x:v>
      </x:c>
      <x:c r="D11" s="16" t="n">
        <x:v>1</x:v>
      </x:c>
      <x:c r="E11" s="18" t="n">
        <x:f>IF(COUNT(C11:D11)=2,C11*D11,"MISSING INPUT")</x:f>
        <x:v>0.6</x:v>
      </x:c>
      <x:c r="F11" s="5" t="str">
        <x:v>Hardware architecture unresolved</x:v>
      </x:c>
    </x:row>
    <x:row r="12" ht="29" customHeight="1">
      <x:c r="A12" s="12" t="str">
        <x:v>M-07</x:v>
      </x:c>
      <x:c r="B12" s="12" t="str">
        <x:v>Computer audio and local display</x:v>
      </x:c>
      <x:c r="C12" s="16" t="n">
        <x:v>0.9</x:v>
      </x:c>
      <x:c r="D12" s="16" t="n">
        <x:v>1.35</x:v>
      </x:c>
      <x:c r="E12" s="17" t="n">
        <x:f>IF(COUNT(C12:D12)=2,C12*D12,"MISSING INPUT")</x:f>
        <x:v>1.215</x:v>
      </x:c>
      <x:c r="F12" s="12" t="str">
        <x:v>No hardware selected</x:v>
      </x:c>
    </x:row>
    <x:row r="13" ht="29" customHeight="1">
      <x:c r="A13" s="5" t="str">
        <x:v>M-08</x:v>
      </x:c>
      <x:c r="B13" s="5" t="str">
        <x:v>Perception sensors</x:v>
      </x:c>
      <x:c r="C13" s="16" t="n">
        <x:v>0.6</x:v>
      </x:c>
      <x:c r="D13" s="16" t="n">
        <x:v>1.4</x:v>
      </x:c>
      <x:c r="E13" s="18" t="n">
        <x:f>IF(COUNT(C13:D13)=2,C13*D13,"MISSING INPUT")</x:f>
        <x:v>0.84</x:v>
      </x:c>
      <x:c r="F13" s="5" t="str">
        <x:v>Camera/depth/IMU allocation</x:v>
      </x:c>
    </x:row>
    <x:row r="14" ht="29" customHeight="1">
      <x:c r="A14" s="12" t="str">
        <x:v>M-09</x:v>
      </x:c>
      <x:c r="B14" s="12" t="str">
        <x:v>Supported object-handling module</x:v>
      </x:c>
      <x:c r="C14" s="16" t="n">
        <x:v>3</x:v>
      </x:c>
      <x:c r="D14" s="16" t="n">
        <x:v>1.1</x:v>
      </x:c>
      <x:c r="E14" s="17" t="n">
        <x:f>IF(COUNT(C14:D14)=2,C14*D14,"MISSING INPUT")</x:f>
        <x:v>3.3000000000000003</x:v>
      </x:c>
      <x:c r="F14" s="12" t="str">
        <x:v>Included onboard even during walking; no payload while walking</x:v>
      </x:c>
    </x:row>
    <x:row r="15" ht="29" customHeight="1">
      <x:c r="A15" s="5" t="str">
        <x:v>M-10</x:v>
      </x:c>
      <x:c r="B15" s="5" t="str">
        <x:v>Passive upper limbs and head supports</x:v>
      </x:c>
      <x:c r="C15" s="16" t="n">
        <x:v>2</x:v>
      </x:c>
      <x:c r="D15" s="16" t="n">
        <x:v>1.45</x:v>
      </x:c>
      <x:c r="E15" s="18" t="n">
        <x:f>IF(COUNT(C15:D15)=2,C15*D15,"MISSING INPUT")</x:f>
        <x:v>2.9</x:v>
      </x:c>
      <x:c r="F15" s="5" t="str">
        <x:v>No active whole-arm humanoid promise</x:v>
      </x:c>
    </x:row>
    <x:row r="16" ht="29" customHeight="1">
      <x:c r="A16" s="12" t="str">
        <x:v>M-11</x:v>
      </x:c>
      <x:c r="B16" s="12" t="str">
        <x:v>Rigid exterior panels and panel mounts</x:v>
      </x:c>
      <x:c r="C16" s="16" t="n">
        <x:v>5.2</x:v>
      </x:c>
      <x:c r="D16" s="16" t="n">
        <x:v>1.1</x:v>
      </x:c>
      <x:c r="E16" s="17" t="n">
        <x:f>IF(COUNT(C16:D16)=2,C16*D16,"MISSING INPUT")</x:f>
        <x:v>5.720000000000001</x:v>
      </x:c>
      <x:c r="F16" s="12" t="str">
        <x:v>2.5 m2 x 1.5 mm plastic example plus mounts</x:v>
      </x:c>
    </x:row>
    <x:row r="17" ht="29" customHeight="1">
      <x:c r="A17" s="5" t="str">
        <x:v>M-12</x:v>
      </x:c>
      <x:c r="B17" s="5" t="str">
        <x:v>Harnesses connectors and cable protection</x:v>
      </x:c>
      <x:c r="C17" s="16" t="n">
        <x:v>1.3</x:v>
      </x:c>
      <x:c r="D17" s="16" t="n">
        <x:v>0.9</x:v>
      </x:c>
      <x:c r="E17" s="18" t="n">
        <x:f>IF(COUNT(C17:D17)=2,C17*D17,"MISSING INPUT")</x:f>
        <x:v>1.1700000000000002</x:v>
      </x:c>
      <x:c r="F17" s="5" t="str">
        <x:v>Service loops included</x:v>
      </x:c>
    </x:row>
    <x:row r="18" ht="29" customHeight="1">
      <x:c r="A18" s="12" t="str">
        <x:v>M-13</x:v>
      </x:c>
      <x:c r="B18" s="12" t="str">
        <x:v>Fasteners seals and labels</x:v>
      </x:c>
      <x:c r="C18" s="16" t="n">
        <x:v>0.8</x:v>
      </x:c>
      <x:c r="D18" s="16" t="n">
        <x:v>0.95</x:v>
      </x:c>
      <x:c r="E18" s="17" t="n">
        <x:f>IF(COUNT(C18:D18)=2,C18*D18,"MISSING INPUT")</x:f>
        <x:v>0.76</x:v>
      </x:c>
      <x:c r="F18" s="12" t="str">
        <x:v>No hidden duplicate mounting allowance</x:v>
      </x:c>
    </x:row>
    <x:row r="19">
      <x:c r="C19" s="19"/>
      <x:c r="D19" s="19"/>
      <x:c r="E19" s="19"/>
    </x:row>
    <x:row r="20" ht="27" customHeight="1">
      <x:c r="B20" s="20" t="str">
        <x:v>Component allocation</x:v>
      </x:c>
      <x:c r="C20" s="21" t="n">
        <x:f>IF(COUNT(C6:C18)=13,SUM(C6:C18),"MISSING INPUT")</x:f>
        <x:v>47.8</x:v>
      </x:c>
      <x:c r="D20" s="21"/>
      <x:c r="E20" s="21" t="n">
        <x:f>IF(COUNT(E6:E18)=13,SUM(E6:E18),"MISSING INPUT")</x:f>
        <x:v>40.255</x:v>
      </x:c>
      <x:c r="F20" s="20"/>
    </x:row>
    <x:row r="21" ht="27" customHeight="1">
      <x:c r="B21" s="20" t="str">
        <x:v>Unassigned growth reserve</x:v>
      </x:c>
      <x:c r="C21" s="21" t="n">
        <x:v>7.2</x:v>
      </x:c>
      <x:c r="D21" s="21"/>
      <x:c r="E21" s="21"/>
      <x:c r="F21" s="20" t="str">
        <x:v>Reserve has no physical location; excluded from COM until assigned.</x:v>
      </x:c>
    </x:row>
    <x:row r="22" ht="27" customHeight="1">
      <x:c r="B22" s="20" t="str">
        <x:v>Total target allocation</x:v>
      </x:c>
      <x:c r="C22" s="21" t="n">
        <x:f>IF(COUNT(C20:C21)=2,SUM(C20:C21),"MISSING INPUT")</x:f>
        <x:v>55</x:v>
      </x:c>
      <x:c r="D22" s="21"/>
      <x:c r="E22" s="21"/>
      <x:c r="F22" s="20"/>
    </x:row>
    <x:row r="23" ht="27" customHeight="1">
      <x:c r="B23" s="20" t="str">
        <x:v>Component COM height m</x:v>
      </x:c>
      <x:c r="C23" s="21" t="n">
        <x:f>IF(AND(ISNUMBER(E20),ISNUMBER(C20),C20&gt;0),E20/C20,"MISSING INPUT")</x:f>
        <x:v>0.8421548117154812</x:v>
      </x:c>
      <x:c r="D23" s="21"/>
      <x:c r="E23" s="21"/>
      <x:c r="F23" s="20" t="str">
        <x:v>Provisional z only; full 3D COM and inertia tensor require CAD.</x:v>
      </x:c>
    </x:row>
    <x:row r="24" ht="27" customHeight="1">
      <x:c r="B24" s="20" t="str">
        <x:v>Robot mass target kg</x:v>
      </x:c>
      <x:c r="C24" s="21" t="n">
        <x:v>55</x:v>
      </x:c>
      <x:c r="D24" s="21"/>
      <x:c r="E24" s="21"/>
      <x:c r="F24" s="20"/>
    </x:row>
    <x:row r="25" ht="27" customHeight="1">
      <x:c r="B25" s="20" t="str">
        <x:v>Target headroom kg</x:v>
      </x:c>
      <x:c r="C25" s="21" t="n">
        <x:f>IF(COUNT(C20,C24)=2,C24-C20,"MISSING INPUT")</x:f>
        <x:v>7.200000000000003</x:v>
      </x:c>
      <x:c r="D25" s="21"/>
      <x:c r="E25" s="21"/>
      <x:c r="F25" s="20"/>
    </x:row>
    <x:row r="26" ht="27" customHeight="1">
      <x:c r="B26" s="20" t="str">
        <x:v>Major review threshold kg</x:v>
      </x:c>
      <x:c r="C26" s="21" t="n">
        <x:v>65</x:v>
      </x:c>
      <x:c r="D26" s="21"/>
      <x:c r="E26" s="21"/>
      <x:c r="F26" s="20"/>
    </x:row>
    <x:row r="27" ht="27" customHeight="1">
      <x:c r="B27" s="20" t="str">
        <x:v>Allocation disposition</x:v>
      </x:c>
      <x:c r="C27" s="20" t="str">
        <x:f>IF(ISNUMBER(C22),IF(C22&gt;C26,"MAJOR REVIEW",IF(C22&gt;C24,"REWORK","PROVISIONAL ALLOCATION")),"MISSING INPUT")</x:f>
        <x:v>PROVISIONAL ALLOCATION</x:v>
      </x:c>
      <x:c r="D27" s="20"/>
      <x:c r="E27" s="20"/>
      <x:c r="F27" s="20"/>
    </x:row>
    <x:row r="29" ht="34" customHeight="1">
      <x:c r="B29" s="22" t="str">
        <x:v>External arrest/fixture and 2 kg payload are separately accounted; walking payload prohibited.</x:v>
      </x:c>
    </x:row>
  </x:sheetData>
  <x:mergeCells>
    <x:mergeCell ref="C27:F27"/>
    <x:mergeCell ref="B29:F30"/>
  </x:mergeCells>
  <x:conditionalFormatting sqref="A1:F29">
    <x:cfRule type="containsText" dxfId="2" priority="1" operator="containsText" text="BLOCKED"/>
    <x:cfRule type="containsText" dxfId="3" priority="2" operator="containsText" text="MISSING INPUT"/>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50" hidden="0" customWidth="1"/>
    <x:col min="3" max="3" width="13" hidden="0" customWidth="1"/>
    <x:col min="4" max="4" width="18" hidden="0" customWidth="1"/>
    <x:col min="5" max="5" width="19" hidden="0" customWidth="1"/>
    <x:col min="6" max="6" width="80" hidden="0" customWidth="1"/>
    <x:col min="7" max="7" width="12" hidden="0" customWidth="1"/>
  </x:cols>
  <x:sheetData>
    <x:row r="1">
      <x:c r="A1" s="1"/>
      <x:c r="B1" s="1"/>
      <x:c r="C1" s="1"/>
      <x:c r="D1" s="1"/>
      <x:c r="E1" s="1"/>
      <x:c r="F1" s="1"/>
      <x:c r="G1" s="1"/>
    </x:row>
    <x:row r="2" ht="25" customHeight="1">
      <x:c r="A2" s="2" t="str">
        <x:v>Budget</x:v>
      </x:c>
      <x:c r="B2" s="1"/>
      <x:c r="C2" s="1"/>
      <x:c r="D2" s="1"/>
      <x:c r="E2" s="1"/>
      <x:c r="F2" s="1"/>
      <x:c r="G2" s="1"/>
    </x:row>
    <x:row r="3">
      <x:c r="A3" s="1" t="str">
        <x:v>R0.1</x:v>
      </x:c>
      <x:c r="B3" s="1" t="str">
        <x:v>Owner Faisal Farouq</x:v>
      </x:c>
      <x:c r="C3" s="1" t="str">
        <x:v>2026-10-23</x:v>
      </x:c>
      <x:c r="D3" s="1"/>
      <x:c r="E3" s="1"/>
      <x:c r="F3" s="1"/>
      <x:c r="G3" s="1"/>
    </x:row>
    <x:row r="4">
      <x:c r="A4" s="3"/>
      <x:c r="B4" s="3"/>
      <x:c r="C4" s="3"/>
      <x:c r="D4" s="3"/>
      <x:c r="E4" s="3"/>
      <x:c r="F4" s="3"/>
      <x:c r="G4" s="3"/>
    </x:row>
    <x:row r="5" ht="34" customHeight="1">
      <x:c r="A5" s="9" t="str">
        <x:v>ID</x:v>
      </x:c>
      <x:c r="B5" s="10" t="str">
        <x:v>Subsystem or allowance</x:v>
      </x:c>
      <x:c r="C5" s="10" t="str">
        <x:v>Quantity</x:v>
      </x:c>
      <x:c r="D5" s="10" t="str">
        <x:v>USD per unit</x:v>
      </x:c>
      <x:c r="E5" s="10" t="str">
        <x:v>Ceiling USD</x:v>
      </x:c>
      <x:c r="F5" s="10" t="str">
        <x:v>Basis and limitation</x:v>
      </x:c>
      <x:c r="G5" s="11" t="str">
        <x:v>Gate</x:v>
      </x:c>
    </x:row>
    <x:row r="6" ht="29" customHeight="1">
      <x:c r="A6" s="12" t="str">
        <x:v>B-01</x:v>
      </x:c>
      <x:c r="B6" s="12" t="str">
        <x:v>Ten lower-body actuator assemblies</x:v>
      </x:c>
      <x:c r="C6" s="15" t="n">
        <x:v>10</x:v>
      </x:c>
      <x:c r="D6" s="24" t="n">
        <x:v>300</x:v>
      </x:c>
      <x:c r="E6" s="25" t="n">
        <x:f>IF(COUNT(C6:D6)=2,C6*D6,"MISSING INPUT")</x:f>
        <x:v>3000</x:v>
      </x:c>
      <x:c r="F6" s="12" t="str">
        <x:v>Derived affordability ceiling per assembly, not a vendor quote</x:v>
      </x:c>
      <x:c r="G6" s="12" t="str">
        <x:v>G3</x:v>
      </x:c>
    </x:row>
    <x:row r="7" ht="29" customHeight="1">
      <x:c r="A7" s="5" t="str">
        <x:v>B-02</x:v>
      </x:c>
      <x:c r="B7" s="5" t="str">
        <x:v>Structure and qualified fabrication</x:v>
      </x:c>
      <x:c r="C7" s="15" t="n">
        <x:v>1</x:v>
      </x:c>
      <x:c r="D7" s="24" t="n">
        <x:v>650</x:v>
      </x:c>
      <x:c r="E7" s="26" t="n">
        <x:f>IF(COUNT(C7:D7)=2,C7*D7,"MISSING INPUT")</x:f>
        <x:v>650</x:v>
      </x:c>
      <x:c r="F7" s="5" t="str">
        <x:v>Unquoted allowance</x:v>
      </x:c>
      <x:c r="G7" s="5" t="str">
        <x:v>G4</x:v>
      </x:c>
    </x:row>
    <x:row r="8" ht="29" customHeight="1">
      <x:c r="A8" s="12" t="str">
        <x:v>B-03</x:v>
      </x:c>
      <x:c r="B8" s="12" t="str">
        <x:v>Feet and contact sensors</x:v>
      </x:c>
      <x:c r="C8" s="15" t="n">
        <x:v>1</x:v>
      </x:c>
      <x:c r="D8" s="24" t="n">
        <x:v>180</x:v>
      </x:c>
      <x:c r="E8" s="25" t="n">
        <x:f>IF(COUNT(C8:D8)=2,C8*D8,"MISSING INPUT")</x:f>
        <x:v>180</x:v>
      </x:c>
      <x:c r="F8" s="12" t="str">
        <x:v>Unquoted allowance</x:v>
      </x:c>
      <x:c r="G8" s="12" t="str">
        <x:v>G3</x:v>
      </x:c>
    </x:row>
    <x:row r="9" ht="29" customHeight="1">
      <x:c r="A9" s="5" t="str">
        <x:v>B-04</x:v>
      </x:c>
      <x:c r="B9" s="5" t="str">
        <x:v>Battery charger and power distribution</x:v>
      </x:c>
      <x:c r="C9" s="15" t="n">
        <x:v>1</x:v>
      </x:c>
      <x:c r="D9" s="24" t="n">
        <x:v>650</x:v>
      </x:c>
      <x:c r="E9" s="26" t="n">
        <x:f>IF(COUNT(C9:D9)=2,C9*D9,"MISSING INPUT")</x:f>
        <x:v>650</x:v>
      </x:c>
      <x:c r="F9" s="5" t="str">
        <x:v>Unquoted allowance</x:v>
      </x:c>
      <x:c r="G9" s="5" t="str">
        <x:v>G3</x:v>
      </x:c>
    </x:row>
    <x:row r="10" ht="29" customHeight="1">
      <x:c r="A10" s="12" t="str">
        <x:v>B-05</x:v>
      </x:c>
      <x:c r="B10" s="12" t="str">
        <x:v>Independent safety hardware</x:v>
      </x:c>
      <x:c r="C10" s="15" t="n">
        <x:v>1</x:v>
      </x:c>
      <x:c r="D10" s="24" t="n">
        <x:v>450</x:v>
      </x:c>
      <x:c r="E10" s="25" t="n">
        <x:f>IF(COUNT(C10:D10)=2,C10*D10,"MISSING INPUT")</x:f>
        <x:v>450</x:v>
      </x:c>
      <x:c r="F10" s="12" t="str">
        <x:v>Unquoted allowance; performance level not established</x:v>
      </x:c>
      <x:c r="G10" s="12" t="str">
        <x:v>G3</x:v>
      </x:c>
    </x:row>
    <x:row r="11" ht="29" customHeight="1">
      <x:c r="A11" s="5" t="str">
        <x:v>B-06</x:v>
      </x:c>
      <x:c r="B11" s="5" t="str">
        <x:v>Compute perception audio and display</x:v>
      </x:c>
      <x:c r="C11" s="15" t="n">
        <x:v>1</x:v>
      </x:c>
      <x:c r="D11" s="24" t="n">
        <x:v>500</x:v>
      </x:c>
      <x:c r="E11" s="26" t="n">
        <x:f>IF(COUNT(C11:D11)=2,C11*D11,"MISSING INPUT")</x:f>
        <x:v>500</x:v>
      </x:c>
      <x:c r="F11" s="5" t="str">
        <x:v>Assumes modest/reused laptop capability; ownership unconfirmed</x:v>
      </x:c>
      <x:c r="G11" s="5" t="str">
        <x:v>G1</x:v>
      </x:c>
    </x:row>
    <x:row r="12" ht="29" customHeight="1">
      <x:c r="A12" s="12" t="str">
        <x:v>B-07</x:v>
      </x:c>
      <x:c r="B12" s="12" t="str">
        <x:v>Plastic panels and mounts</x:v>
      </x:c>
      <x:c r="C12" s="15" t="n">
        <x:v>1</x:v>
      </x:c>
      <x:c r="D12" s="24" t="n">
        <x:v>550</x:v>
      </x:c>
      <x:c r="E12" s="25" t="n">
        <x:f>IF(COUNT(C12:D12)=2,C12*D12,"MISSING INPUT")</x:f>
        <x:v>550</x:v>
      </x:c>
      <x:c r="F12" s="12" t="str">
        <x:v>Unquoted allowance</x:v>
      </x:c>
      <x:c r="G12" s="12" t="str">
        <x:v>G4</x:v>
      </x:c>
    </x:row>
    <x:row r="13" ht="29" customHeight="1">
      <x:c r="A13" s="5" t="str">
        <x:v>B-08</x:v>
      </x:c>
      <x:c r="B13" s="5" t="str">
        <x:v>Supported handling module</x:v>
      </x:c>
      <x:c r="C13" s="15" t="n">
        <x:v>1</x:v>
      </x:c>
      <x:c r="D13" s="24" t="n">
        <x:v>350</x:v>
      </x:c>
      <x:c r="E13" s="26" t="n">
        <x:f>IF(COUNT(C13:D13)=2,C13*D13,"MISSING INPUT")</x:f>
        <x:v>350</x:v>
      </x:c>
      <x:c r="F13" s="5" t="str">
        <x:v>Unquoted allowance</x:v>
      </x:c>
      <x:c r="G13" s="5" t="str">
        <x:v>G3</x:v>
      </x:c>
    </x:row>
    <x:row r="14" ht="29" customHeight="1">
      <x:c r="A14" s="12" t="str">
        <x:v>B-09</x:v>
      </x:c>
      <x:c r="B14" s="12" t="str">
        <x:v>Rated robot fall protection and anchorage access</x:v>
      </x:c>
      <x:c r="C14" s="15" t="n">
        <x:v>1</x:v>
      </x:c>
      <x:c r="D14" s="24" t="n">
        <x:v>1000</x:v>
      </x:c>
      <x:c r="E14" s="25" t="n">
        <x:f>IF(COUNT(C14:D14)=2,C14*D14,"MISSING INPUT")</x:f>
        <x:v>1000</x:v>
      </x:c>
      <x:c r="F14" s="12" t="str">
        <x:v>Rental/access allowance; no facility or equipment confirmed</x:v>
      </x:c>
      <x:c r="G14" s="12" t="str">
        <x:v>G2</x:v>
      </x:c>
    </x:row>
    <x:row r="15" ht="29" customHeight="1">
      <x:c r="A15" s="5" t="str">
        <x:v>B-10</x:v>
      </x:c>
      <x:c r="B15" s="5" t="str">
        <x:v>Fixtures tools and inspection equipment access</x:v>
      </x:c>
      <x:c r="C15" s="15" t="n">
        <x:v>1</x:v>
      </x:c>
      <x:c r="D15" s="24" t="n">
        <x:v>500</x:v>
      </x:c>
      <x:c r="E15" s="26" t="n">
        <x:f>IF(COUNT(C15:D15)=2,C15*D15,"MISSING INPUT")</x:f>
        <x:v>500</x:v>
      </x:c>
      <x:c r="F15" s="5" t="str">
        <x:v>Access allowance; no equipment confirmed</x:v>
      </x:c>
      <x:c r="G15" s="5" t="str">
        <x:v>G2</x:v>
      </x:c>
    </x:row>
    <x:row r="16" ht="29" customHeight="1">
      <x:c r="A16" s="12" t="str">
        <x:v>B-11</x:v>
      </x:c>
      <x:c r="B16" s="12" t="str">
        <x:v>Qualified independent engineering review</x:v>
      </x:c>
      <x:c r="C16" s="15" t="n">
        <x:v>1</x:v>
      </x:c>
      <x:c r="D16" s="24" t="n">
        <x:v>600</x:v>
      </x:c>
      <x:c r="E16" s="25" t="n">
        <x:f>IF(COUNT(C16:D16)=2,C16*D16,"MISSING INPUT")</x:f>
        <x:v>600</x:v>
      </x:c>
      <x:c r="F16" s="12" t="str">
        <x:v>Unquoted limited review allowance; sufficient hours unknown</x:v>
      </x:c>
      <x:c r="G16" s="12" t="str">
        <x:v>G2</x:v>
      </x:c>
    </x:row>
    <x:row r="17" ht="29" customHeight="1">
      <x:c r="A17" s="5" t="str">
        <x:v>B-12</x:v>
      </x:c>
      <x:c r="B17" s="5" t="str">
        <x:v>Software communication and content licenses</x:v>
      </x:c>
      <x:c r="C17" s="15" t="n">
        <x:v>1</x:v>
      </x:c>
      <x:c r="D17" s="24" t="n">
        <x:v>120</x:v>
      </x:c>
      <x:c r="E17" s="26" t="n">
        <x:f>IF(COUNT(C17:D17)=2,C17*D17,"MISSING INPUT")</x:f>
        <x:v>120</x:v>
      </x:c>
      <x:c r="F17" s="5" t="str">
        <x:v>Local-first allocation</x:v>
      </x:c>
      <x:c r="G17" s="5" t="str">
        <x:v>G1</x:v>
      </x:c>
    </x:row>
    <x:row r="18" ht="29" customHeight="1">
      <x:c r="A18" s="12" t="str">
        <x:v>B-13</x:v>
      </x:c>
      <x:c r="B18" s="12" t="str">
        <x:v>Freight taxes duties and standards access</x:v>
      </x:c>
      <x:c r="C18" s="15" t="n">
        <x:v>1</x:v>
      </x:c>
      <x:c r="D18" s="24" t="n">
        <x:v>650</x:v>
      </x:c>
      <x:c r="E18" s="25" t="n">
        <x:f>IF(COUNT(C18:D18)=2,C18*D18,"MISSING INPUT")</x:f>
        <x:v>650</x:v>
      </x:c>
      <x:c r="F18" s="12" t="str">
        <x:v>Provisional combined allowance; jurisdiction unknown</x:v>
      </x:c>
      <x:c r="G18" s="12" t="str">
        <x:v>G3</x:v>
      </x:c>
    </x:row>
    <x:row r="19" ht="29" customHeight="1">
      <x:c r="A19" s="5" t="str">
        <x:v>B-14</x:v>
      </x:c>
      <x:c r="B19" s="5" t="str">
        <x:v>Spares and uncommitted contingency</x:v>
      </x:c>
      <x:c r="C19" s="15" t="n">
        <x:v>1</x:v>
      </x:c>
      <x:c r="D19" s="24" t="n">
        <x:v>800</x:v>
      </x:c>
      <x:c r="E19" s="26" t="n">
        <x:f>IF(COUNT(C19:D19)=2,C19*D19,"MISSING INPUT")</x:f>
        <x:v>800</x:v>
      </x:c>
      <x:c r="F19" s="5" t="str">
        <x:v>Reserve, not available to disguise known overruns</x:v>
      </x:c>
      <x:c r="G19" s="5" t="str">
        <x:v>G3</x:v>
      </x:c>
    </x:row>
    <x:row r="20">
      <x:c r="D20" s="27"/>
      <x:c r="E20" s="27"/>
    </x:row>
    <x:row r="21" ht="28" customHeight="1">
      <x:c r="B21" s="20" t="str">
        <x:v>Total ceiling allocation</x:v>
      </x:c>
      <x:c r="C21" s="20"/>
      <x:c r="D21" s="28"/>
      <x:c r="E21" s="28" t="n">
        <x:f>IF(COUNT(E6:E19)=14,SUM(E6:E19),"MISSING INPUT")</x:f>
        <x:v>10000</x:v>
      </x:c>
      <x:c r="F21" s="20"/>
      <x:c r="G21" s="20"/>
    </x:row>
    <x:row r="22" ht="28" customHeight="1">
      <x:c r="B22" s="20" t="str">
        <x:v>Maximum cash budget</x:v>
      </x:c>
      <x:c r="C22" s="20"/>
      <x:c r="D22" s="28"/>
      <x:c r="E22" s="28" t="n">
        <x:v>10000</x:v>
      </x:c>
      <x:c r="F22" s="20"/>
      <x:c r="G22" s="20"/>
    </x:row>
    <x:row r="23" ht="28" customHeight="1">
      <x:c r="B23" s="20" t="str">
        <x:v>Allocation over cap</x:v>
      </x:c>
      <x:c r="C23" s="20"/>
      <x:c r="D23" s="28"/>
      <x:c r="E23" s="28" t="n">
        <x:f>IF(COUNT(E21:E22)=2,E21-E22,"MISSING INPUT")</x:f>
        <x:v>0</x:v>
      </x:c>
      <x:c r="F23" s="20"/>
      <x:c r="G23" s="20"/>
    </x:row>
    <x:row r="24" ht="28" customHeight="1">
      <x:c r="B24" s="20"/>
      <x:c r="C24" s="20"/>
      <x:c r="D24" s="28"/>
      <x:c r="E24" s="28"/>
      <x:c r="F24" s="20"/>
      <x:c r="G24" s="20"/>
    </x:row>
    <x:row r="25" ht="28" customHeight="1">
      <x:c r="B25" s="20" t="str">
        <x:v>Non-actuator allowances</x:v>
      </x:c>
      <x:c r="C25" s="20"/>
      <x:c r="D25" s="28"/>
      <x:c r="E25" s="28" t="n">
        <x:f>IF(COUNT(E7:E19)=13,SUM(E7:E19),"MISSING INPUT")</x:f>
        <x:v>7000</x:v>
      </x:c>
      <x:c r="F25" s="20"/>
      <x:c r="G25" s="20"/>
    </x:row>
    <x:row r="26" ht="42" customHeight="1">
      <x:c r="B26" s="20" t="str">
        <x:v>Reference actuator starting price</x:v>
      </x:c>
      <x:c r="C26" s="20"/>
      <x:c r="D26" s="28"/>
      <x:c r="E26" s="31" t="n">
        <x:v>889.9</x:v>
      </x:c>
      <x:c r="F26" s="29" t="str">
        <x:v>SRC-02 on Assumptions. Starting price only; driver option and landed quote unconfirmed.</x:v>
      </x:c>
      <x:c r="G26" s="20"/>
    </x:row>
    <x:row r="27" ht="42" customHeight="1">
      <x:c r="B27" s="20" t="str">
        <x:v>Ten reference actuators</x:v>
      </x:c>
      <x:c r="C27" s="20"/>
      <x:c r="D27" s="28"/>
      <x:c r="E27" s="28" t="n">
        <x:f>IF(COUNT(C6,E26)=2,C6*E26,"MISSING INPUT")</x:f>
        <x:v>8899</x:v>
      </x:c>
      <x:c r="F27" s="29"/>
      <x:c r="G27" s="20"/>
    </x:row>
    <x:row r="28" ht="42" customHeight="1">
      <x:c r="B28" s="20" t="str">
        <x:v>Reference project total</x:v>
      </x:c>
      <x:c r="C28" s="20"/>
      <x:c r="D28" s="28"/>
      <x:c r="E28" s="28" t="n">
        <x:f>IF(COUNT(E25,E27)=2,E25+E27,"MISSING INPUT")</x:f>
        <x:v>15899</x:v>
      </x:c>
      <x:c r="F28" s="29" t="str">
        <x:v>Illustrative reference, not a selected BOM; all other lines remain unquoted.</x:v>
      </x:c>
      <x:c r="G28" s="20"/>
    </x:row>
    <x:row r="29" ht="28" customHeight="1">
      <x:c r="B29" s="20" t="str">
        <x:v>Reference excess over cap</x:v>
      </x:c>
      <x:c r="C29" s="20"/>
      <x:c r="D29" s="28"/>
      <x:c r="E29" s="28" t="n">
        <x:f>IF(COUNT(E28,E22)=2,E28-E22,"MISSING INPUT")</x:f>
        <x:v>5899</x:v>
      </x:c>
      <x:c r="F29" s="20"/>
      <x:c r="G29" s="20"/>
    </x:row>
    <x:row r="30" ht="28" customHeight="1">
      <x:c r="B30" s="20" t="str">
        <x:v>Affordable unit allowance</x:v>
      </x:c>
      <x:c r="C30" s="20"/>
      <x:c r="D30" s="28"/>
      <x:c r="E30" s="28" t="n">
        <x:f>IF(AND(COUNT(E22,E25,C6)=3,C6&gt;0),(E22-E25)/C6,"MISSING INPUT")</x:f>
        <x:v>300</x:v>
      </x:c>
      <x:c r="F30" s="20"/>
      <x:c r="G30" s="20"/>
    </x:row>
    <x:row r="31" ht="28" customHeight="1">
      <x:c r="B31" s="20" t="str">
        <x:v>Procurement disposition</x:v>
      </x:c>
      <x:c r="C31" s="20"/>
      <x:c r="D31" s="20"/>
      <x:c r="E31" s="20" t="str">
        <x:f>IF(ISNUMBER(E29),IF(E29&gt;0,"BLOCKED COST","REWORK QUALIFICATION"),"MISSING INPUT")</x:f>
        <x:v>BLOCKED COST</x:v>
      </x:c>
      <x:c r="F31" s="20"/>
      <x:c r="G31" s="20"/>
    </x:row>
  </x:sheetData>
  <x:mergeCells>
    <x:mergeCell ref="E31:G31"/>
  </x:mergeCells>
  <x:conditionalFormatting sqref="A1:G31">
    <x:cfRule type="containsText" dxfId="4" priority="1" operator="containsText" text="BLOCKED"/>
    <x:cfRule type="containsText" dxfId="5" priority="2" operator="containsText" text="MISSING INPUT"/>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8" hidden="0" customWidth="1"/>
    <x:col min="2" max="2" width="24" hidden="0" customWidth="1"/>
    <x:col min="3" max="3" width="15" hidden="0" customWidth="1"/>
    <x:col min="4" max="4" width="100" hidden="0" customWidth="1"/>
  </x:cols>
  <x:sheetData>
    <x:row r="1">
      <x:c r="A1" s="1"/>
      <x:c r="B1" s="1"/>
      <x:c r="C1" s="1"/>
      <x:c r="D1" s="1"/>
    </x:row>
    <x:row r="2" ht="25" customHeight="1">
      <x:c r="A2" s="2" t="str">
        <x:v>Engineering</x:v>
      </x:c>
      <x:c r="B2" s="1"/>
      <x:c r="C2" s="1"/>
      <x:c r="D2" s="1"/>
    </x:row>
    <x:row r="3">
      <x:c r="A3" s="1" t="str">
        <x:v>R0.1</x:v>
      </x:c>
      <x:c r="B3" s="1" t="str">
        <x:v>Owner Faisal Farouq</x:v>
      </x:c>
      <x:c r="C3" s="1" t="str">
        <x:v>2026-10-23</x:v>
      </x:c>
      <x:c r="D3" s="1"/>
    </x:row>
    <x:row r="4">
      <x:c r="A4" s="3"/>
      <x:c r="B4" s="3"/>
      <x:c r="C4" s="3"/>
      <x:c r="D4" s="3"/>
    </x:row>
    <x:row r="5" ht="34" customHeight="1">
      <x:c r="A5" s="9" t="str">
        <x:v>Metric</x:v>
      </x:c>
      <x:c r="B5" s="10" t="str">
        <x:v>Value</x:v>
      </x:c>
      <x:c r="C5" s="10" t="str">
        <x:v>Unit</x:v>
      </x:c>
      <x:c r="D5" s="11" t="str">
        <x:v>Basis and limitation</x:v>
      </x:c>
    </x:row>
    <x:row r="6" ht="29" customHeight="1">
      <x:c r="A6" s="12" t="str">
        <x:v>Gravity</x:v>
      </x:c>
      <x:c r="B6" s="32" t="n">
        <x:v>9.81</x:v>
      </x:c>
      <x:c r="C6" s="12" t="str">
        <x:v>m/s2</x:v>
      </x:c>
      <x:c r="D6" s="12" t="str">
        <x:v>Engineering assumption</x:v>
      </x:c>
    </x:row>
    <x:row r="7" ht="29" customHeight="1">
      <x:c r="A7" s="5" t="str">
        <x:v>Robot mass target</x:v>
      </x:c>
      <x:c r="B7" s="33" t="n">
        <x:f>'Mass'!C24</x:f>
        <x:v>55</x:v>
      </x:c>
      <x:c r="C7" s="5" t="str">
        <x:v>kg</x:v>
      </x:c>
      <x:c r="D7" s="5" t="str">
        <x:v>Target, not measured</x:v>
      </x:c>
    </x:row>
    <x:row r="8" ht="29" customHeight="1">
      <x:c r="A8" s="12" t="str">
        <x:v>Ankle horizontal offset</x:v>
      </x:c>
      <x:c r="B8" s="32" t="n">
        <x:v>0.1</x:v>
      </x:c>
      <x:c r="C8" s="12" t="str">
        <x:v>m</x:v>
      </x:c>
      <x:c r="D8" s="12" t="str">
        <x:v>Screening assumption</x:v>
      </x:c>
    </x:row>
    <x:row r="9" ht="29" customHeight="1">
      <x:c r="A9" s="5" t="str">
        <x:v>Illustrative screening multiplier</x:v>
      </x:c>
      <x:c r="B9" s="32" t="n">
        <x:v>1.5</x:v>
      </x:c>
      <x:c r="C9" s="5" t="str">
        <x:v>1</x:v>
      </x:c>
      <x:c r="D9" s="5" t="str">
        <x:v>Not final design factor or factor of safety</x:v>
      </x:c>
    </x:row>
    <x:row r="10" ht="29" customHeight="1">
      <x:c r="A10" s="12" t="str">
        <x:v>Static ankle moment</x:v>
      </x:c>
      <x:c r="B10" s="34" t="n">
        <x:f>B6*B7*B8</x:f>
        <x:v>53.95500000000001</x:v>
      </x:c>
      <x:c r="C10" s="12" t="str">
        <x:v>N m</x:v>
      </x:c>
      <x:c r="D10" s="12" t="str">
        <x:v>Full body weight at assumed offset</x:v>
      </x:c>
    </x:row>
    <x:row r="11" ht="29" customHeight="1">
      <x:c r="A11" s="5" t="str">
        <x:v>Screened ankle moment</x:v>
      </x:c>
      <x:c r="B11" s="33" t="n">
        <x:f>B10*B9</x:f>
        <x:v>80.93250000000002</x:v>
      </x:c>
      <x:c r="C11" s="5" t="str">
        <x:v>N m</x:v>
      </x:c>
      <x:c r="D11" s="5" t="str">
        <x:v>No inverse dynamics completed</x:v>
      </x:c>
    </x:row>
    <x:row r="12" ht="29" customHeight="1">
      <x:c r="A12" s="12" t="str">
        <x:v>Larger ankle offset</x:v>
      </x:c>
      <x:c r="B12" s="32" t="n">
        <x:v>0.15</x:v>
      </x:c>
      <x:c r="C12" s="12" t="str">
        <x:v>m</x:v>
      </x:c>
      <x:c r="D12" s="12" t="str">
        <x:v>Screening assumption</x:v>
      </x:c>
    </x:row>
    <x:row r="13" ht="29" customHeight="1">
      <x:c r="A13" s="5" t="str">
        <x:v>Static moment at larger offset</x:v>
      </x:c>
      <x:c r="B13" s="33" t="n">
        <x:f>B6*B7*B12</x:f>
        <x:v>80.9325</x:v>
      </x:c>
      <x:c r="C13" s="5" t="str">
        <x:v>N m</x:v>
      </x:c>
      <x:c r="D13" s="5" t="str">
        <x:v>Not final torque envelope</x:v>
      </x:c>
    </x:row>
    <x:row r="14" ht="29" customHeight="1">
      <x:c r="A14" s="12" t="str">
        <x:v>Screened larger-offset moment</x:v>
      </x:c>
      <x:c r="B14" s="34" t="n">
        <x:f>B13*B9</x:f>
        <x:v>121.39875</x:v>
      </x:c>
      <x:c r="C14" s="12" t="str">
        <x:v>N m</x:v>
      </x:c>
      <x:c r="D14" s="12" t="str">
        <x:v>Reference 120 N m peak is insufficient to qualify sustained load</x:v>
      </x:c>
    </x:row>
    <x:row r="15" ht="29" customHeight="1">
      <x:c r="A15" s="5" t="str">
        <x:v>Vendor reference rated torque</x:v>
      </x:c>
      <x:c r="B15" s="32" t="n">
        <x:v>48</x:v>
      </x:c>
      <x:c r="C15" s="5" t="str">
        <x:v>N m</x:v>
      </x:c>
      <x:c r="D15" s="5" t="str">
        <x:v>SRC-02; conditions and duty need vendor confirmation</x:v>
      </x:c>
    </x:row>
    <x:row r="16" ht="29" customHeight="1">
      <x:c r="A16" s="12" t="str">
        <x:v>Vendor reference peak torque</x:v>
      </x:c>
      <x:c r="B16" s="32" t="n">
        <x:v>120</x:v>
      </x:c>
      <x:c r="C16" s="12" t="str">
        <x:v>N m</x:v>
      </x:c>
      <x:c r="D16" s="12" t="str">
        <x:v>SRC-02; peak duration/recovery not qualified</x:v>
      </x:c>
    </x:row>
    <x:row r="17" ht="29" customHeight="1">
      <x:c r="A17" s="5" t="str">
        <x:v>Foot length</x:v>
      </x:c>
      <x:c r="B17" s="32" t="n">
        <x:v>0.32</x:v>
      </x:c>
      <x:c r="C17" s="5" t="str">
        <x:v>m</x:v>
      </x:c>
      <x:c r="D17" s="5" t="str">
        <x:v>Candidate envelope</x:v>
      </x:c>
    </x:row>
    <x:row r="18" ht="29" customHeight="1">
      <x:c r="A18" s="12" t="str">
        <x:v>Foot width</x:v>
      </x:c>
      <x:c r="B18" s="32" t="n">
        <x:v>0.22</x:v>
      </x:c>
      <x:c r="C18" s="12" t="str">
        <x:v>m</x:v>
      </x:c>
      <x:c r="D18" s="12" t="str">
        <x:v>Candidate envelope</x:v>
      </x:c>
    </x:row>
    <x:row r="19" ht="29" customHeight="1">
      <x:c r="A19" s="5" t="str">
        <x:v>Rectangular foot area</x:v>
      </x:c>
      <x:c r="B19" s="33" t="n">
        <x:f>B17*B18</x:f>
        <x:v>0.0704</x:v>
      </x:c>
      <x:c r="C19" s="5" t="str">
        <x:v>m2</x:v>
      </x:c>
      <x:c r="D19" s="5" t="str">
        <x:v>Actual sole contact can be smaller</x:v>
      </x:c>
    </x:row>
    <x:row r="20" ht="29" customHeight="1">
      <x:c r="A20" s="12" t="str">
        <x:v>Mean ideal single-support pressure</x:v>
      </x:c>
      <x:c r="B20" s="34" t="n">
        <x:f>B6*B7/B19</x:f>
        <x:v>7664.062500000001</x:v>
      </x:c>
      <x:c r="C20" s="12" t="str">
        <x:v>Pa</x:v>
      </x:c>
      <x:c r="D20" s="12" t="str">
        <x:v>Uniform contact assumption only</x:v>
      </x:c>
    </x:row>
    <x:row r="21" ht="29" customHeight="1">
      <x:c r="A21" s="5" t="str">
        <x:v>Shell area</x:v>
      </x:c>
      <x:c r="B21" s="32" t="n">
        <x:v>2.5</x:v>
      </x:c>
      <x:c r="C21" s="5" t="str">
        <x:v>m2</x:v>
      </x:c>
      <x:c r="D21" s="5" t="str">
        <x:v>No CAD area available</x:v>
      </x:c>
    </x:row>
    <x:row r="22" ht="29" customHeight="1">
      <x:c r="A22" s="12" t="str">
        <x:v>Shell thickness</x:v>
      </x:c>
      <x:c r="B22" s="32" t="n">
        <x:v>0.0015</x:v>
      </x:c>
      <x:c r="C22" s="12" t="str">
        <x:v>m</x:v>
      </x:c>
      <x:c r="D22" s="12" t="str">
        <x:v>Material/process unknown</x:v>
      </x:c>
    </x:row>
    <x:row r="23" ht="29" customHeight="1">
      <x:c r="A23" s="5" t="str">
        <x:v>Assumed plastic density</x:v>
      </x:c>
      <x:c r="B23" s="32" t="n">
        <x:v>1050</x:v>
      </x:c>
      <x:c r="C23" s="5" t="str">
        <x:v>kg/m3</x:v>
      </x:c>
      <x:c r="D23" s="5" t="str">
        <x:v>No material selected</x:v>
      </x:c>
    </x:row>
    <x:row r="24" ht="29" customHeight="1">
      <x:c r="A24" s="12" t="str">
        <x:v>Panel supports and overlaps</x:v>
      </x:c>
      <x:c r="B24" s="32" t="n">
        <x:v>1.2625</x:v>
      </x:c>
      <x:c r="C24" s="12" t="str">
        <x:v>kg</x:v>
      </x:c>
      <x:c r="D24" s="12" t="str">
        <x:v>Provisional allowance</x:v>
      </x:c>
    </x:row>
    <x:row r="25" ht="29" customHeight="1">
      <x:c r="A25" s="5" t="str">
        <x:v>Shell and support mass</x:v>
      </x:c>
      <x:c r="B25" s="33" t="n">
        <x:f>B21*B22*B23+B24</x:f>
        <x:v>5.2</x:v>
      </x:c>
      <x:c r="C25" s="5" t="str">
        <x:v>kg</x:v>
      </x:c>
      <x:c r="D25" s="5" t="str">
        <x:v>Allocation screen</x:v>
      </x:c>
    </x:row>
    <x:row r="26" ht="29" customHeight="1">
      <x:c r="A26" s="12" t="str">
        <x:v>Shell mass at twice thickness</x:v>
      </x:c>
      <x:c r="B26" s="34" t="n">
        <x:f>B21*(2*B22)*B23+B24</x:f>
        <x:v>9.1375</x:v>
      </x:c>
      <x:c r="C26" s="12" t="str">
        <x:v>kg</x:v>
      </x:c>
      <x:c r="D26" s="12" t="str">
        <x:v>Same area and supports</x:v>
      </x:c>
    </x:row>
    <x:row r="27" ht="29" customHeight="1">
      <x:c r="A27" s="5" t="str">
        <x:v>Added shell mass</x:v>
      </x:c>
      <x:c r="B27" s="33" t="n">
        <x:f>B26-B25</x:f>
        <x:v>3.937499999999999</x:v>
      </x:c>
      <x:c r="C27" s="5" t="str">
        <x:v>kg</x:v>
      </x:c>
      <x:c r="D27" s="5" t="str">
        <x:v>Consumes growth reserve</x:v>
      </x:c>
    </x:row>
    <x:row r="28" ht="29" customHeight="1">
      <x:c r="A28" s="12" t="str">
        <x:v>Handling test object</x:v>
      </x:c>
      <x:c r="B28" s="32" t="n">
        <x:v>2</x:v>
      </x:c>
      <x:c r="C28" s="12" t="str">
        <x:v>kg</x:v>
      </x:c>
      <x:c r="D28" s="12" t="str">
        <x:v>Stationary secured configuration only</x:v>
      </x:c>
    </x:row>
    <x:row r="29" ht="29" customHeight="1">
      <x:c r="A29" s="5" t="str">
        <x:v>Horizontal handling reach</x:v>
      </x:c>
      <x:c r="B29" s="32" t="n">
        <x:v>0.3</x:v>
      </x:c>
      <x:c r="C29" s="5" t="str">
        <x:v>m</x:v>
      </x:c>
      <x:c r="D29" s="5" t="str">
        <x:v>Proposed analysis reach; not approved trajectory</x:v>
      </x:c>
    </x:row>
    <x:row r="30" ht="29" customHeight="1">
      <x:c r="A30" s="12" t="str">
        <x:v>Payload-only moment</x:v>
      </x:c>
      <x:c r="B30" s="34" t="n">
        <x:f>B28*B6*B29</x:f>
        <x:v>5.886</x:v>
      </x:c>
      <x:c r="C30" s="12" t="str">
        <x:v>N m</x:v>
      </x:c>
      <x:c r="D30" s="12" t="str">
        <x:v>Excludes arm self-weight and dynamic load</x:v>
      </x:c>
    </x:row>
    <x:row r="31" ht="29" customHeight="1">
      <x:c r="A31" s="5" t="str">
        <x:v>Future payload</x:v>
      </x:c>
      <x:c r="B31" s="32" t="n">
        <x:v>5</x:v>
      </x:c>
      <x:c r="C31" s="5" t="str">
        <x:v>kg</x:v>
      </x:c>
      <x:c r="D31" s="5" t="str">
        <x:v>Later stretch; no commitment</x:v>
      </x:c>
    </x:row>
    <x:row r="32" ht="29" customHeight="1">
      <x:c r="A32" s="12" t="str">
        <x:v>Future payload-only moment</x:v>
      </x:c>
      <x:c r="B32" s="34" t="n">
        <x:f>B31*B6*B29</x:f>
        <x:v>14.715</x:v>
      </x:c>
      <x:c r="C32" s="12" t="str">
        <x:v>N m</x:v>
      </x:c>
      <x:c r="D32" s="12" t="str">
        <x:v>Excludes arm self-weight and dynamic load</x:v>
      </x:c>
    </x:row>
    <x:row r="33" ht="29" customHeight="1">
      <x:c r="A33" s="5" t="str">
        <x:v>Lower-body active joints</x:v>
      </x:c>
      <x:c r="B33" s="32" t="n">
        <x:v>10</x:v>
      </x:c>
      <x:c r="C33" s="5" t="str">
        <x:v>count</x:v>
      </x:c>
      <x:c r="D33" s="5" t="str">
        <x:v>Topology not frozen</x:v>
      </x:c>
    </x:row>
    <x:row r="34" ht="29" customHeight="1">
      <x:c r="A34" s="12" t="str">
        <x:v>Assumed simultaneous joint torque</x:v>
      </x:c>
      <x:c r="B34" s="32" t="n">
        <x:v>40</x:v>
      </x:c>
      <x:c r="C34" s="12" t="str">
        <x:v>N m</x:v>
      </x:c>
      <x:c r="D34" s="12" t="str">
        <x:v>Illustrative energy screen</x:v>
      </x:c>
    </x:row>
    <x:row r="35" ht="29" customHeight="1">
      <x:c r="A35" s="5" t="str">
        <x:v>Assumed simultaneous joint speed</x:v>
      </x:c>
      <x:c r="B35" s="32" t="n">
        <x:v>0.5</x:v>
      </x:c>
      <x:c r="C35" s="5" t="str">
        <x:v>rad/s</x:v>
      </x:c>
      <x:c r="D35" s="5" t="str">
        <x:v>Illustrative energy screen</x:v>
      </x:c>
    </x:row>
    <x:row r="36" ht="29" customHeight="1">
      <x:c r="A36" s="12" t="str">
        <x:v>Total mechanical power</x:v>
      </x:c>
      <x:c r="B36" s="34" t="n">
        <x:f>B33*B34*B35</x:f>
        <x:v>200</x:v>
      </x:c>
      <x:c r="C36" s="12" t="str">
        <x:v>W</x:v>
      </x:c>
      <x:c r="D36" s="12" t="str">
        <x:v>Does not include static holding copper loss</x:v>
      </x:c>
    </x:row>
    <x:row r="37" ht="29" customHeight="1">
      <x:c r="A37" s="5" t="str">
        <x:v>Electromechanical efficiency</x:v>
      </x:c>
      <x:c r="B37" s="32" t="n">
        <x:v>0.6</x:v>
      </x:c>
      <x:c r="C37" s="5" t="str">
        <x:v>1</x:v>
      </x:c>
      <x:c r="D37" s="5" t="str">
        <x:v>Illustrative; no efficiency map</x:v>
      </x:c>
    </x:row>
    <x:row r="38" ht="29" customHeight="1">
      <x:c r="A38" s="12" t="str">
        <x:v>Electronics power</x:v>
      </x:c>
      <x:c r="B38" s="32" t="n">
        <x:v>60</x:v>
      </x:c>
      <x:c r="C38" s="12" t="str">
        <x:v>W</x:v>
      </x:c>
      <x:c r="D38" s="12" t="str">
        <x:v>No measured load</x:v>
      </x:c>
    </x:row>
    <x:row r="39" ht="29" customHeight="1">
      <x:c r="A39" s="5" t="str">
        <x:v>Bus power</x:v>
      </x:c>
      <x:c r="B39" s="33" t="n">
        <x:f>IF(AND(ISNUMBER(B37),B37&gt;0),B36/B37+B38,"MISSING INPUT")</x:f>
        <x:v>393.33333333333337</x:v>
      </x:c>
      <x:c r="C39" s="5" t="str">
        <x:v>W</x:v>
      </x:c>
      <x:c r="D39" s="5" t="str">
        <x:v>Average screen; peak/regen unresolved</x:v>
      </x:c>
    </x:row>
    <x:row r="40" ht="29" customHeight="1">
      <x:c r="A40" s="12" t="str">
        <x:v>Nominal battery voltage</x:v>
      </x:c>
      <x:c r="B40" s="32" t="n">
        <x:v>48</x:v>
      </x:c>
      <x:c r="C40" s="12" t="str">
        <x:v>V</x:v>
      </x:c>
      <x:c r="D40" s="12" t="str">
        <x:v>Not a chosen pack; full-charge voltage unresolved</x:v>
      </x:c>
    </x:row>
    <x:row r="41" ht="29" customHeight="1">
      <x:c r="A41" s="5" t="str">
        <x:v>Nominal battery charge</x:v>
      </x:c>
      <x:c r="B41" s="32" t="n">
        <x:v>8</x:v>
      </x:c>
      <x:c r="C41" s="5" t="str">
        <x:v>Ah</x:v>
      </x:c>
      <x:c r="D41" s="5" t="str">
        <x:v>Nominal practical pack rating</x:v>
      </x:c>
    </x:row>
    <x:row r="42" ht="29" customHeight="1">
      <x:c r="A42" s="12" t="str">
        <x:v>Usable energy fraction</x:v>
      </x:c>
      <x:c r="B42" s="32" t="n">
        <x:v>0.8</x:v>
      </x:c>
      <x:c r="C42" s="12" t="str">
        <x:v>1</x:v>
      </x:c>
      <x:c r="D42" s="12" t="str">
        <x:v>Illustrative; pack aging and BMS cutoffs unknown</x:v>
      </x:c>
    </x:row>
    <x:row r="43" ht="29" customHeight="1">
      <x:c r="A43" s="5" t="str">
        <x:v>Nominal battery energy</x:v>
      </x:c>
      <x:c r="B43" s="33" t="n">
        <x:f>B40*B41</x:f>
        <x:v>384</x:v>
      </x:c>
      <x:c r="C43" s="5" t="str">
        <x:v>Wh</x:v>
      </x:c>
      <x:c r="D43" s="5" t="str">
        <x:v>Practical energy unit; SI joules on next row</x:v>
      </x:c>
    </x:row>
    <x:row r="44" ht="29" customHeight="1">
      <x:c r="A44" s="12" t="str">
        <x:v>Nominal battery energy SI</x:v>
      </x:c>
      <x:c r="B44" s="34" t="n">
        <x:f>B43*3600</x:f>
        <x:v>1382400</x:v>
      </x:c>
      <x:c r="C44" s="12" t="str">
        <x:v>J</x:v>
      </x:c>
      <x:c r="D44" s="12" t="str">
        <x:v>1 Wh equals 3600 J</x:v>
      </x:c>
    </x:row>
    <x:row r="45" ht="29" customHeight="1">
      <x:c r="A45" s="5" t="str">
        <x:v>Idealized runtime</x:v>
      </x:c>
      <x:c r="B45" s="33" t="n">
        <x:f>IF(AND(ISNUMBER(B39),B39&gt;0),B43*B42/B39*3600,"MISSING INPUT")</x:f>
        <x:v>2811.661016949153</x:v>
      </x:c>
      <x:c r="C45" s="5" t="str">
        <x:v>s</x:v>
      </x:c>
      <x:c r="D45" s="5" t="str">
        <x:v>Not a tested runtime or battery design</x:v>
      </x:c>
    </x:row>
    <x:row r="46" ht="29" customHeight="1">
      <x:c r="A46" s="12" t="str">
        <x:v>Average DC bus current</x:v>
      </x:c>
      <x:c r="B46" s="34" t="n">
        <x:f>IF(AND(ISNUMBER(B39),ISNUMBER(B40),B40&gt;0),B39/B40,"MISSING INPUT")</x:f>
        <x:v>8.194444444444445</x:v>
      </x:c>
      <x:c r="C46" s="12" t="str">
        <x:v>A</x:v>
      </x:c>
      <x:c r="D46" s="12" t="str">
        <x:v>Do not sum phase currents as DC bus current</x:v>
      </x:c>
    </x:row>
    <x:row r="47" ht="29" customHeight="1">
      <x:c r="A47" s="5" t="str">
        <x:v>Component growth case</x:v>
      </x:c>
      <x:c r="B47" s="32" t="n">
        <x:v>0.2</x:v>
      </x:c>
      <x:c r="C47" s="5" t="str">
        <x:v>1</x:v>
      </x:c>
      <x:c r="D47" s="5" t="str">
        <x:v>Mass screen only; reserve not added twice</x:v>
      </x:c>
    </x:row>
    <x:row r="48" ht="29" customHeight="1">
      <x:c r="A48" s="12" t="str">
        <x:v>Component mass at growth</x:v>
      </x:c>
      <x:c r="B48" s="34" t="n">
        <x:f>IF(ISNUMBER('Mass'!C20),'Mass'!C20*(1+B47),"MISSING INPUT")</x:f>
        <x:v>57.35999999999999</x:v>
      </x:c>
      <x:c r="C48" s="12" t="str">
        <x:v>kg</x:v>
      </x:c>
      <x:c r="D48" s="12" t="str">
        <x:v>Shows target conflict</x:v>
      </x:c>
    </x:row>
    <x:row r="49" ht="29" customHeight="1">
      <x:c r="A49" s="5" t="str">
        <x:v>Larger component growth case</x:v>
      </x:c>
      <x:c r="B49" s="32" t="n">
        <x:v>0.4</x:v>
      </x:c>
      <x:c r="C49" s="5" t="str">
        <x:v>1</x:v>
      </x:c>
      <x:c r="D49" s="5" t="str">
        <x:v>Mass screen only</x:v>
      </x:c>
    </x:row>
    <x:row r="50" ht="29" customHeight="1">
      <x:c r="A50" s="12" t="str">
        <x:v>Component mass at larger growth</x:v>
      </x:c>
      <x:c r="B50" s="34" t="n">
        <x:f>IF(ISNUMBER('Mass'!C20),'Mass'!C20*(1+B49),"MISSING INPUT")</x:f>
        <x:v>66.91999999999999</x:v>
      </x:c>
      <x:c r="C50" s="12" t="str">
        <x:v>kg</x:v>
      </x:c>
      <x:c r="D50" s="12" t="str">
        <x:v>Shows major-review threshold conflict</x:v>
      </x:c>
    </x:row>
    <x:row r="51" ht="29" customHeight="1">
      <x:c r="A51" s="5" t="str">
        <x:v>Example progress per step</x:v>
      </x:c>
      <x:c r="B51" s="32" t="n">
        <x:v>0.15</x:v>
      </x:c>
      <x:c r="C51" s="5" t="str">
        <x:v>m</x:v>
      </x:c>
      <x:c r="D51" s="5" t="str">
        <x:v>Assumed pelvis progress, not inferred from foot length</x:v>
      </x:c>
    </x:row>
    <x:row r="52" ht="29" customHeight="1">
      <x:c r="A52" s="12" t="str">
        <x:v>Consecutive steps per trial</x:v>
      </x:c>
      <x:c r="B52" s="32" t="n">
        <x:v>3</x:v>
      </x:c>
      <x:c r="C52" s="12" t="str">
        <x:v>count</x:v>
      </x:c>
      <x:c r="D52" s="12" t="str">
        <x:v>Two trials required</x:v>
      </x:c>
    </x:row>
    <x:row r="53" ht="29" customHeight="1">
      <x:c r="A53" s="5" t="str">
        <x:v>Example pelvis progress</x:v>
      </x:c>
      <x:c r="B53" s="33" t="n">
        <x:f>B51*B52</x:f>
        <x:v>0.44999999999999996</x:v>
      </x:c>
      <x:c r="C53" s="5" t="str">
        <x:v>m</x:v>
      </x:c>
      <x:c r="D53" s="5" t="str">
        <x:v>Actual displacement must be measured</x:v>
      </x:c>
    </x:row>
    <x:row r="54" ht="29" customHeight="1">
      <x:c r="A54" s="12" t="str">
        <x:v>Lower speed target</x:v>
      </x:c>
      <x:c r="B54" s="32" t="n">
        <x:v>0.1</x:v>
      </x:c>
      <x:c r="C54" s="12" t="str">
        <x:v>m/s</x:v>
      </x:c>
      <x:c r="D54" s="12" t="str">
        <x:v>Target only</x:v>
      </x:c>
    </x:row>
    <x:row r="55" ht="29" customHeight="1">
      <x:c r="A55" s="5" t="str">
        <x:v>Upper speed target</x:v>
      </x:c>
      <x:c r="B55" s="32" t="n">
        <x:v>0.15</x:v>
      </x:c>
      <x:c r="C55" s="5" t="str">
        <x:v>m/s</x:v>
      </x:c>
      <x:c r="D55" s="5" t="str">
        <x:v>Target only</x:v>
      </x:c>
    </x:row>
    <x:row r="56" ht="29" customHeight="1">
      <x:c r="A56" s="12" t="str">
        <x:v>Time at lower target speed</x:v>
      </x:c>
      <x:c r="B56" s="34" t="n">
        <x:f>B53/B54</x:f>
        <x:v>4.499999999999999</x:v>
      </x:c>
      <x:c r="C56" s="12" t="str">
        <x:v>s</x:v>
      </x:c>
      <x:c r="D56" s="12" t="str">
        <x:v>Example start-to-third landing interval</x:v>
      </x:c>
    </x:row>
    <x:row r="57" ht="29" customHeight="1">
      <x:c r="A57" s="5" t="str">
        <x:v>Time at upper target speed</x:v>
      </x:c>
      <x:c r="B57" s="33" t="n">
        <x:f>B53/B55</x:f>
        <x:v>3</x:v>
      </x:c>
      <x:c r="C57" s="5" t="str">
        <x:v>s</x:v>
      </x:c>
      <x:c r="D57" s="5" t="str">
        <x:v>Example start-to-third landing interval</x:v>
      </x:c>
    </x:row>
    <x:row r="58" ht="29" customHeight="1">
      <x:c r="A58" s="12" t="str">
        <x:v>Effective upper load</x:v>
      </x:c>
      <x:c r="B58" s="32" t="n">
        <x:v>35</x:v>
      </x:c>
      <x:c r="C58" s="12" t="str">
        <x:v>kg</x:v>
      </x:c>
      <x:c r="D58" s="12" t="str">
        <x:v>Assumed; replace with multibody model</x:v>
      </x:c>
    </x:row>
    <x:row r="59" ht="29" customHeight="1">
      <x:c r="A59" s="5" t="str">
        <x:v>Hip horizontal lever</x:v>
      </x:c>
      <x:c r="B59" s="32" t="n">
        <x:v>0.15</x:v>
      </x:c>
      <x:c r="C59" s="5" t="str">
        <x:v>m</x:v>
      </x:c>
      <x:c r="D59" s="5" t="str">
        <x:v>Assumed</x:v>
      </x:c>
    </x:row>
    <x:row r="60" ht="29" customHeight="1">
      <x:c r="A60" s="12" t="str">
        <x:v>Static hip screen</x:v>
      </x:c>
      <x:c r="B60" s="34" t="n">
        <x:f>B58*B6*B59</x:f>
        <x:v>51.502500000000005</x:v>
      </x:c>
      <x:c r="C60" s="12" t="str">
        <x:v>N m</x:v>
      </x:c>
      <x:c r="D60" s="12" t="str">
        <x:v>No dynamic terms</x:v>
      </x:c>
    </x:row>
    <x:row r="61" ht="29" customHeight="1">
      <x:c r="A61" s="5" t="str">
        <x:v>Knee horizontal lever</x:v>
      </x:c>
      <x:c r="B61" s="32" t="n">
        <x:v>0.2</x:v>
      </x:c>
      <x:c r="C61" s="5" t="str">
        <x:v>m</x:v>
      </x:c>
      <x:c r="D61" s="5" t="str">
        <x:v>Assumed</x:v>
      </x:c>
    </x:row>
    <x:row r="62" ht="29" customHeight="1">
      <x:c r="A62" s="12" t="str">
        <x:v>Static knee screen</x:v>
      </x:c>
      <x:c r="B62" s="34" t="n">
        <x:f>B58*B6*B61</x:f>
        <x:v>68.67</x:v>
      </x:c>
      <x:c r="C62" s="12" t="str">
        <x:v>N m</x:v>
      </x:c>
      <x:c r="D62" s="12" t="str">
        <x:v>No dynamic terms</x:v>
      </x:c>
    </x:row>
    <x:row r="63" ht="29" customHeight="1">
      <x:c r="A63" s="5" t="str">
        <x:v>Example translation speed</x:v>
      </x:c>
      <x:c r="B63" s="32" t="n">
        <x:v>0.15</x:v>
      </x:c>
      <x:c r="C63" s="5" t="str">
        <x:v>m/s</x:v>
      </x:c>
      <x:c r="D63" s="5" t="str">
        <x:v>Not full limb velocity envelope</x:v>
      </x:c>
    </x:row>
    <x:row r="64" ht="29" customHeight="1">
      <x:c r="A64" s="12" t="str">
        <x:v>Example response delay</x:v>
      </x:c>
      <x:c r="B64" s="32" t="n">
        <x:v>0.1</x:v>
      </x:c>
      <x:c r="C64" s="12" t="str">
        <x:v>s</x:v>
      </x:c>
      <x:c r="D64" s="12" t="str">
        <x:v>Not approved stop response</x:v>
      </x:c>
    </x:row>
    <x:row r="65" ht="29" customHeight="1">
      <x:c r="A65" s="5" t="str">
        <x:v>Example deceleration</x:v>
      </x:c>
      <x:c r="B65" s="32" t="n">
        <x:v>0.5</x:v>
      </x:c>
      <x:c r="C65" s="5" t="str">
        <x:v>m/s2</x:v>
      </x:c>
      <x:c r="D65" s="5" t="str">
        <x:v>Not validated or approved</x:v>
      </x:c>
    </x:row>
    <x:row r="66" ht="29" customHeight="1">
      <x:c r="A66" s="12" t="str">
        <x:v>Example translation stopping distance</x:v>
      </x:c>
      <x:c r="B66" s="34" t="n">
        <x:f>B63*B64+B63^2/(2*B65)</x:f>
        <x:v>0.0375</x:v>
      </x:c>
      <x:c r="C66" s="12" t="str">
        <x:v>m</x:v>
      </x:c>
      <x:c r="D66" s="12" t="str">
        <x:v>Excludes fall and limb sweep; not a separation distance</x:v>
      </x:c>
    </x:row>
    <x:row r="67" ht="29" customHeight="1">
      <x:c r="A67" s="5" t="str">
        <x:v>Height target</x:v>
      </x:c>
      <x:c r="B67" s="32" t="n">
        <x:v>1.829</x:v>
      </x:c>
      <x:c r="C67" s="5" t="str">
        <x:v>m</x:v>
      </x:c>
      <x:c r="D67" s="5" t="str">
        <x:v>Owner target</x:v>
      </x:c>
    </x:row>
    <x:row r="68" ht="29" customHeight="1">
      <x:c r="A68" s="12" t="str">
        <x:v>Lower funding case</x:v>
      </x:c>
      <x:c r="B68" s="32" t="n">
        <x:v>5000</x:v>
      </x:c>
      <x:c r="C68" s="12" t="str">
        <x:v>USD</x:v>
      </x:c>
      <x:c r="D68" s="12" t="str">
        <x:v>Owner funding range</x:v>
      </x:c>
    </x:row>
    <x:row r="69" ht="29" customHeight="1">
      <x:c r="A69" s="5" t="str">
        <x:v>Non-actuation excess over lower funding</x:v>
      </x:c>
      <x:c r="B69" s="33" t="n">
        <x:f>'Budget'!E25-B68</x:f>
        <x:v>2000</x:v>
      </x:c>
      <x:c r="C69" s="5" t="str">
        <x:v>USD</x:v>
      </x:c>
      <x:c r="D69" s="5" t="str">
        <x:v>No full build route at this funding shown</x:v>
      </x:c>
    </x:row>
    <x:row r="70" ht="29" customHeight="1">
      <x:c r="A70" s="12" t="str">
        <x:v>Illustrative foot-edge allowance</x:v>
      </x:c>
      <x:c r="B70" s="32" t="n">
        <x:v>0.025</x:v>
      </x:c>
      <x:c r="C70" s="12" t="str">
        <x:v>m</x:v>
      </x:c>
      <x:c r="D70" s="12" t="str">
        <x:v>Not a validated stability margin</x:v>
      </x:c>
    </x:row>
    <x:row r="71" ht="29" customHeight="1">
      <x:c r="A71" s="5" t="str">
        <x:v>Ideal lateral half-width after allowance</x:v>
      </x:c>
      <x:c r="B71" s="33" t="n">
        <x:f>B18/2-B70</x:f>
        <x:v>0.08499999999999999</x:v>
      </x:c>
      <x:c r="C71" s="5" t="str">
        <x:v>m</x:v>
      </x:c>
      <x:c r="D71" s="5" t="str">
        <x:v>Dynamic contact and ZMP unresolved</x:v>
      </x:c>
    </x:row>
    <x:row r="72" ht="29" customHeight="1">
      <x:c r="A72" s="12" t="str">
        <x:v>Larger growth excess over major threshold</x:v>
      </x:c>
      <x:c r="B72" s="34" t="n">
        <x:f>IF(ISNUMBER(B50),B50-'Mass'!C26,"MISSING INPUT")</x:f>
        <x:v>1.9199999999999875</x:v>
      </x:c>
      <x:c r="C72" s="12" t="str">
        <x:v>kg</x:v>
      </x:c>
      <x:c r="D72" s="12" t="str">
        <x:v>Positive result triggers major design review</x:v>
      </x:c>
    </x:row>
  </x:sheetData>
  <x:conditionalFormatting sqref="A1:D72">
    <x:cfRule type="containsText" dxfId="6" priority="1" operator="containsText" text="BLOCKED"/>
    <x:cfRule type="containsText" dxfId="7" priority="2" operator="containsText" text="MISSING INPUT"/>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9" hidden="0" customWidth="1"/>
    <x:col min="2" max="2" width="15" hidden="0" customWidth="1"/>
    <x:col min="3" max="3" width="70" hidden="0" customWidth="1"/>
    <x:col min="4" max="4" width="18" hidden="0" customWidth="1"/>
    <x:col min="5" max="5" width="25" hidden="0" customWidth="1"/>
    <x:col min="6" max="6" width="30" hidden="0" customWidth="1"/>
    <x:col min="7" max="7" width="24" hidden="0" customWidth="1"/>
    <x:col min="8" max="8" width="11" hidden="0" customWidth="1"/>
    <x:col min="9" max="9" width="15" hidden="0" customWidth="1"/>
  </x:cols>
  <x:sheetData>
    <x:row r="1">
      <x:c r="A1" s="1"/>
      <x:c r="B1" s="1"/>
      <x:c r="C1" s="1"/>
      <x:c r="D1" s="1"/>
      <x:c r="E1" s="1"/>
      <x:c r="F1" s="1"/>
      <x:c r="G1" s="1"/>
      <x:c r="H1" s="1"/>
      <x:c r="I1" s="1"/>
    </x:row>
    <x:row r="2" ht="25" customHeight="1">
      <x:c r="A2" s="2" t="str">
        <x:v>Requirements</x:v>
      </x:c>
      <x:c r="B2" s="1"/>
      <x:c r="C2" s="1"/>
      <x:c r="D2" s="1"/>
      <x:c r="E2" s="1"/>
      <x:c r="F2" s="1"/>
      <x:c r="G2" s="1"/>
      <x:c r="H2" s="1"/>
      <x:c r="I2" s="1"/>
    </x:row>
    <x:row r="3">
      <x:c r="A3" s="1" t="str">
        <x:v>R0.1</x:v>
      </x:c>
      <x:c r="B3" s="1" t="str">
        <x:v>Owner Faisal Farouq</x:v>
      </x:c>
      <x:c r="C3" s="1" t="str">
        <x:v>2026-10-23</x:v>
      </x:c>
      <x:c r="D3" s="1"/>
      <x:c r="E3" s="1"/>
      <x:c r="F3" s="1"/>
      <x:c r="G3" s="1"/>
      <x:c r="H3" s="1"/>
      <x:c r="I3" s="1"/>
    </x:row>
    <x:row r="4">
      <x:c r="A4" s="3"/>
      <x:c r="B4" s="3"/>
      <x:c r="C4" s="3"/>
      <x:c r="D4" s="3"/>
      <x:c r="E4" s="3"/>
      <x:c r="F4" s="3"/>
      <x:c r="G4" s="3"/>
      <x:c r="H4" s="3"/>
      <x:c r="I4" s="3"/>
    </x:row>
    <x:row r="5" ht="34" customHeight="1">
      <x:c r="A5" s="9" t="str">
        <x:v>Requirement ID</x:v>
      </x:c>
      <x:c r="B5" s="10" t="str">
        <x:v>Phase</x:v>
      </x:c>
      <x:c r="C5" s="10" t="str">
        <x:v>Requirement</x:v>
      </x:c>
      <x:c r="D5" s="10" t="str">
        <x:v>Verification</x:v>
      </x:c>
      <x:c r="E5" s="10" t="str">
        <x:v>Hazards</x:v>
      </x:c>
      <x:c r="F5" s="10" t="str">
        <x:v>Evidence status</x:v>
      </x:c>
      <x:c r="G5" s="10" t="str">
        <x:v>Owner</x:v>
      </x:c>
      <x:c r="H5" s="10" t="str">
        <x:v>Revision</x:v>
      </x:c>
      <x:c r="I5" s="11" t="str">
        <x:v>Date</x:v>
      </x:c>
    </x:row>
    <x:row r="6" ht="39" customHeight="1">
      <x:c r="A6" s="12" t="str">
        <x:v>JB-R-001</x:v>
      </x:c>
      <x:c r="B6" s="12" t="str">
        <x:v>Year 1</x:v>
      </x:c>
      <x:c r="C6" s="12" t="str">
        <x:v>The robot shall support caregivers and visibly identify itself as a research support robot with no professional-care authority.</x:v>
      </x:c>
      <x:c r="D6" s="12" t="str">
        <x:v>JB-V-01</x:v>
      </x:c>
      <x:c r="E6" s="12" t="str">
        <x:v>JB-H-09</x:v>
      </x:c>
      <x:c r="F6" s="12" t="str">
        <x:v>BLOCKED - NOT TESTED</x:v>
      </x:c>
      <x:c r="G6" s="12" t="str">
        <x:v>Faisal Farouq</x:v>
      </x:c>
      <x:c r="H6" s="12" t="str">
        <x:v>R0.1</x:v>
      </x:c>
      <x:c r="I6" s="12" t="str">
        <x:v>2026-10-23</x:v>
      </x:c>
    </x:row>
    <x:row r="7" ht="39" customHeight="1">
      <x:c r="A7" s="5" t="str">
        <x:v>JB-R-002</x:v>
      </x:c>
      <x:c r="B7" s="5" t="str">
        <x:v>Year 1</x:v>
      </x:c>
      <x:c r="C7" s="5" t="str">
        <x:v>Overall height shall target 1.829 m; provisional build acceptance band is 1.809 to 1.849 m pending owner acceptance.</x:v>
      </x:c>
      <x:c r="D7" s="5" t="str">
        <x:v>JB-V-02</x:v>
      </x:c>
      <x:c r="E7" s="5" t="str"/>
      <x:c r="F7" s="5" t="str">
        <x:v>BLOCKED - NOT TESTED</x:v>
      </x:c>
      <x:c r="G7" s="5" t="str">
        <x:v>Faisal Farouq</x:v>
      </x:c>
      <x:c r="H7" s="5" t="str">
        <x:v>R0.1</x:v>
      </x:c>
      <x:c r="I7" s="5" t="str">
        <x:v>2026-10-23</x:v>
      </x:c>
    </x:row>
    <x:row r="8" ht="39" customHeight="1">
      <x:c r="A8" s="12" t="str">
        <x:v>JB-R-003</x:v>
      </x:c>
      <x:c r="B8" s="12" t="str">
        <x:v>Year 1</x:v>
      </x:c>
      <x:c r="C8" s="12" t="str">
        <x:v>Operating robot mass including battery, panels and attached handling module shall target &lt;=55 kg; weigh each permitted configuration.</x:v>
      </x:c>
      <x:c r="D8" s="12" t="str">
        <x:v>JB-V-02</x:v>
      </x:c>
      <x:c r="E8" s="12" t="str">
        <x:v>JB-H-01</x:v>
      </x:c>
      <x:c r="F8" s="12" t="str">
        <x:v>BLOCKED - NOT TESTED</x:v>
      </x:c>
      <x:c r="G8" s="12" t="str">
        <x:v>Faisal Farouq</x:v>
      </x:c>
      <x:c r="H8" s="12" t="str">
        <x:v>R0.1</x:v>
      </x:c>
      <x:c r="I8" s="12" t="str">
        <x:v>2026-10-23</x:v>
      </x:c>
    </x:row>
    <x:row r="9" ht="39" customHeight="1">
      <x:c r="A9" s="5" t="str">
        <x:v>JB-R-004</x:v>
      </x:c>
      <x:c r="B9" s="5" t="str">
        <x:v>Year 1</x:v>
      </x:c>
      <x:c r="C9" s="5" t="str">
        <x:v>A projected mass &gt;55 kg shall trigger rework; &gt;65 kg shall trigger a major design review and suspend affected purchases and motion releases.</x:v>
      </x:c>
      <x:c r="D9" s="5" t="str">
        <x:v>JB-V-03</x:v>
      </x:c>
      <x:c r="E9" s="5" t="str">
        <x:v>JB-H-18</x:v>
      </x:c>
      <x:c r="F9" s="5" t="str">
        <x:v>BLOCKED - NOT TESTED</x:v>
      </x:c>
      <x:c r="G9" s="5" t="str">
        <x:v>Faisal Farouq</x:v>
      </x:c>
      <x:c r="H9" s="5" t="str">
        <x:v>R0.1</x:v>
      </x:c>
      <x:c r="I9" s="5" t="str">
        <x:v>2026-10-23</x:v>
      </x:c>
    </x:row>
    <x:row r="10" ht="39" customHeight="1">
      <x:c r="A10" s="12" t="str">
        <x:v>JB-R-005</x:v>
      </x:c>
      <x:c r="B10" s="12" t="str">
        <x:v>Year 1</x:v>
      </x:c>
      <x:c r="C10" s="12" t="str">
        <x:v>The lower body shall contain exactly 10 independently commanded active joints; joint topology requires design freeze.</x:v>
      </x:c>
      <x:c r="D10" s="12" t="str">
        <x:v>JB-V-04</x:v>
      </x:c>
      <x:c r="E10" s="12" t="str">
        <x:v>JB-H-02</x:v>
      </x:c>
      <x:c r="F10" s="12" t="str">
        <x:v>BLOCKED - NOT TESTED</x:v>
      </x:c>
      <x:c r="G10" s="12" t="str">
        <x:v>Faisal Farouq</x:v>
      </x:c>
      <x:c r="H10" s="12" t="str">
        <x:v>R0.1</x:v>
      </x:c>
      <x:c r="I10" s="12" t="str">
        <x:v>2026-10-23</x:v>
      </x:c>
    </x:row>
    <x:row r="11" ht="39" customHeight="1">
      <x:c r="A11" s="5" t="str">
        <x:v>JB-R-006</x:v>
      </x:c>
      <x:c r="B11" s="5" t="str">
        <x:v>Year 1</x:v>
      </x:c>
      <x:c r="C11" s="5" t="str">
        <x:v>The walking demonstration shall complete three alternating consecutive steps in each of two separate supervised trials.</x:v>
      </x:c>
      <x:c r="D11" s="5" t="str">
        <x:v>JB-V-05</x:v>
      </x:c>
      <x:c r="E11" s="5" t="str">
        <x:v>JB-H-01</x:v>
      </x:c>
      <x:c r="F11" s="5" t="str">
        <x:v>BLOCKED - NOT TESTED</x:v>
      </x:c>
      <x:c r="G11" s="5" t="str">
        <x:v>Faisal Farouq</x:v>
      </x:c>
      <x:c r="H11" s="5" t="str">
        <x:v>R0.1</x:v>
      </x:c>
      <x:c r="I11" s="5" t="str">
        <x:v>2026-10-23</x:v>
      </x:c>
    </x:row>
    <x:row r="12" ht="39" customHeight="1">
      <x:c r="A12" s="12" t="str">
        <x:v>JB-R-007</x:v>
      </x:c>
      <x:c r="B12" s="12" t="str">
        <x:v>Year 1</x:v>
      </x:c>
      <x:c r="C12" s="12" t="str">
        <x:v>Walking speed shall target 0.10 to 0.15 m/s over the defined three-step interval, using measured distance and synchronized time.</x:v>
      </x:c>
      <x:c r="D12" s="12" t="str">
        <x:v>JB-V-05</x:v>
      </x:c>
      <x:c r="E12" s="12" t="str">
        <x:v>JB-H-01</x:v>
      </x:c>
      <x:c r="F12" s="12" t="str">
        <x:v>BLOCKED - NOT TESTED</x:v>
      </x:c>
      <x:c r="G12" s="12" t="str">
        <x:v>Faisal Farouq</x:v>
      </x:c>
      <x:c r="H12" s="12" t="str">
        <x:v>R0.1</x:v>
      </x:c>
      <x:c r="I12" s="12" t="str">
        <x:v>2026-10-23</x:v>
      </x:c>
    </x:row>
    <x:row r="13" ht="39" customHeight="1">
      <x:c r="A13" s="5" t="str">
        <x:v>JB-R-008</x:v>
      </x:c>
      <x:c r="B13" s="5" t="str">
        <x:v>Year 1</x:v>
      </x:c>
      <x:c r="C13" s="5" t="str">
        <x:v>All walking shall occur within an approved cleared test area using inspected rated robot fall protection and an exclusion zone.</x:v>
      </x:c>
      <x:c r="D13" s="5" t="str">
        <x:v>JB-V-06</x:v>
      </x:c>
      <x:c r="E13" s="5" t="str">
        <x:v>JB-H-01</x:v>
      </x:c>
      <x:c r="F13" s="5" t="str">
        <x:v>BLOCKED - NOT TESTED</x:v>
      </x:c>
      <x:c r="G13" s="5" t="str">
        <x:v>Faisal Farouq</x:v>
      </x:c>
      <x:c r="H13" s="5" t="str">
        <x:v>R0.1</x:v>
      </x:c>
      <x:c r="I13" s="5" t="str">
        <x:v>2026-10-23</x:v>
      </x:c>
    </x:row>
    <x:row r="14" ht="39" customHeight="1">
      <x:c r="A14" s="12" t="str">
        <x:v>JB-R-009</x:v>
      </x:c>
      <x:c r="B14" s="12" t="str">
        <x:v>Year 1</x:v>
      </x:c>
      <x:c r="C14" s="12" t="str">
        <x:v>Total Year 1 cash outlay shall remain &lt;=USD 10000; USD 5000 is the lower funding case and unapproved commitments are prohibited.</x:v>
      </x:c>
      <x:c r="D14" s="12" t="str">
        <x:v>JB-V-03</x:v>
      </x:c>
      <x:c r="E14" s="12" t="str">
        <x:v>JB-H-18</x:v>
      </x:c>
      <x:c r="F14" s="12" t="str">
        <x:v>BLOCKED - NOT TESTED</x:v>
      </x:c>
      <x:c r="G14" s="12" t="str">
        <x:v>Faisal Farouq</x:v>
      </x:c>
      <x:c r="H14" s="12" t="str">
        <x:v>R0.1</x:v>
      </x:c>
      <x:c r="I14" s="12" t="str">
        <x:v>2026-10-23</x:v>
      </x:c>
    </x:row>
    <x:row r="15" ht="39" customHeight="1">
      <x:c r="A15" s="5" t="str">
        <x:v>JB-R-010</x:v>
      </x:c>
      <x:c r="B15" s="5" t="str">
        <x:v>Year 1</x:v>
      </x:c>
      <x:c r="C15" s="5" t="str">
        <x:v>The exterior shall use rigid removable white plastic panels, narrow visible seams, protected charcoal joint gaps and subtle teal accents.</x:v>
      </x:c>
      <x:c r="D15" s="5" t="str">
        <x:v>JB-V-07</x:v>
      </x:c>
      <x:c r="E15" s="5" t="str">
        <x:v>JB-H-02</x:v>
      </x:c>
      <x:c r="F15" s="5" t="str">
        <x:v>BLOCKED - NOT TESTED</x:v>
      </x:c>
      <x:c r="G15" s="5" t="str">
        <x:v>Faisal Farouq</x:v>
      </x:c>
      <x:c r="H15" s="5" t="str">
        <x:v>R0.1</x:v>
      </x:c>
      <x:c r="I15" s="5" t="str">
        <x:v>2026-10-23</x:v>
      </x:c>
    </x:row>
    <x:row r="16" ht="39" customHeight="1">
      <x:c r="A16" s="12" t="str">
        <x:v>JB-R-011</x:v>
      </x:c>
      <x:c r="B16" s="12" t="str">
        <x:v>Year 1</x:v>
      </x:c>
      <x:c r="C16" s="12" t="str">
        <x:v>The robot shall use broad flat rounded-rectangle feet without toes or circular stumps and a simple two-eye line face.</x:v>
      </x:c>
      <x:c r="D16" s="12" t="str">
        <x:v>JB-V-07</x:v>
      </x:c>
      <x:c r="E16" s="12" t="str"/>
      <x:c r="F16" s="12" t="str">
        <x:v>BLOCKED - NOT TESTED</x:v>
      </x:c>
      <x:c r="G16" s="12" t="str">
        <x:v>Faisal Farouq</x:v>
      </x:c>
      <x:c r="H16" s="12" t="str">
        <x:v>R0.1</x:v>
      </x:c>
      <x:c r="I16" s="12" t="str">
        <x:v>2026-10-23</x:v>
      </x:c>
    </x:row>
    <x:row r="17" ht="39" customHeight="1">
      <x:c r="A17" s="5" t="str">
        <x:v>JB-R-012</x:v>
      </x:c>
      <x:c r="B17" s="5" t="str">
        <x:v>Year 1</x:v>
      </x:c>
      <x:c r="C17" s="5" t="str">
        <x:v>Panels shall permit full approved motion, ventilation, fall-protection attachment, sensor views, emergency-stop access and fastener service.</x:v>
      </x:c>
      <x:c r="D17" s="5" t="str">
        <x:v>JB-V-07</x:v>
      </x:c>
      <x:c r="E17" s="5" t="str">
        <x:v>JB-H-02;JB-H-04</x:v>
      </x:c>
      <x:c r="F17" s="5" t="str">
        <x:v>BLOCKED - NOT TESTED</x:v>
      </x:c>
      <x:c r="G17" s="5" t="str">
        <x:v>Faisal Farouq</x:v>
      </x:c>
      <x:c r="H17" s="5" t="str">
        <x:v>R0.1</x:v>
      </x:c>
      <x:c r="I17" s="5" t="str">
        <x:v>2026-10-23</x:v>
      </x:c>
    </x:row>
    <x:row r="18" ht="39" customHeight="1">
      <x:c r="A18" s="12" t="str">
        <x:v>JB-R-013</x:v>
      </x:c>
      <x:c r="B18" s="12" t="str">
        <x:v>Year 1</x:v>
      </x:c>
      <x:c r="C18" s="12" t="str">
        <x:v>A safety controller shall independently inhibit hazardous motion and shall have no conversational-model bypass path.</x:v>
      </x:c>
      <x:c r="D18" s="12" t="str">
        <x:v>JB-V-08</x:v>
      </x:c>
      <x:c r="E18" s="12" t="str">
        <x:v>JB-H-03</x:v>
      </x:c>
      <x:c r="F18" s="12" t="str">
        <x:v>BLOCKED - NOT TESTED</x:v>
      </x:c>
      <x:c r="G18" s="12" t="str">
        <x:v>Faisal Farouq</x:v>
      </x:c>
      <x:c r="H18" s="12" t="str">
        <x:v>R0.1</x:v>
      </x:c>
      <x:c r="I18" s="12" t="str">
        <x:v>2026-10-23</x:v>
      </x:c>
    </x:row>
    <x:row r="19" ht="39" customHeight="1">
      <x:c r="A19" s="5" t="str">
        <x:v>JB-R-014</x:v>
      </x:c>
      <x:c r="B19" s="5" t="str">
        <x:v>Year 1</x:v>
      </x:c>
      <x:c r="C19" s="5" t="str">
        <x:v>Local and operator emergency stops, power loss, watchdog faults and restart shall produce the reviewed safe state without automatic re-energization.</x:v>
      </x:c>
      <x:c r="D19" s="5" t="str">
        <x:v>JB-V-08</x:v>
      </x:c>
      <x:c r="E19" s="5" t="str">
        <x:v>JB-H-03;JB-H-17</x:v>
      </x:c>
      <x:c r="F19" s="5" t="str">
        <x:v>BLOCKED - NOT TESTED</x:v>
      </x:c>
      <x:c r="G19" s="5" t="str">
        <x:v>Faisal Farouq</x:v>
      </x:c>
      <x:c r="H19" s="5" t="str">
        <x:v>R0.1</x:v>
      </x:c>
      <x:c r="I19" s="5" t="str">
        <x:v>2026-10-23</x:v>
      </x:c>
    </x:row>
    <x:row r="20" ht="39" customHeight="1">
      <x:c r="A20" s="12" t="str">
        <x:v>JB-R-015</x:v>
      </x:c>
      <x:c r="B20" s="12" t="str">
        <x:v>Year 1</x:v>
      </x:c>
      <x:c r="C20" s="12" t="str">
        <x:v>Signed versioned motion limits shall cover position, speed, current, temperature and relevant force; missing limits shall inhibit motion.</x:v>
      </x:c>
      <x:c r="D20" s="12" t="str">
        <x:v>JB-V-09</x:v>
      </x:c>
      <x:c r="E20" s="12" t="str">
        <x:v>JB-H-02;JB-H-04</x:v>
      </x:c>
      <x:c r="F20" s="12" t="str">
        <x:v>BLOCKED - NOT TESTED</x:v>
      </x:c>
      <x:c r="G20" s="12" t="str">
        <x:v>Faisal Farouq</x:v>
      </x:c>
      <x:c r="H20" s="12" t="str">
        <x:v>R0.1</x:v>
      </x:c>
      <x:c r="I20" s="12" t="str">
        <x:v>2026-10-23</x:v>
      </x:c>
    </x:row>
    <x:row r="21" ht="39" customHeight="1">
      <x:c r="A21" s="5" t="str">
        <x:v>JB-R-016</x:v>
      </x:c>
      <x:c r="B21" s="5" t="str">
        <x:v>Year 1</x:v>
      </x:c>
      <x:c r="C21" s="5" t="str">
        <x:v>Motion requests shall pass through deterministic authorization and bounded prevalidated skills; conversational text shall have no motor-bus access.</x:v>
      </x:c>
      <x:c r="D21" s="5" t="str">
        <x:v>JB-V-09</x:v>
      </x:c>
      <x:c r="E21" s="5" t="str">
        <x:v>JB-H-03;JB-H-12</x:v>
      </x:c>
      <x:c r="F21" s="5" t="str">
        <x:v>BLOCKED - NOT TESTED</x:v>
      </x:c>
      <x:c r="G21" s="5" t="str">
        <x:v>Faisal Farouq</x:v>
      </x:c>
      <x:c r="H21" s="5" t="str">
        <x:v>R0.1</x:v>
      </x:c>
      <x:c r="I21" s="5" t="str">
        <x:v>2026-10-23</x:v>
      </x:c>
    </x:row>
    <x:row r="22" ht="39" customHeight="1">
      <x:c r="A22" s="12" t="str">
        <x:v>JB-R-017</x:v>
      </x:c>
      <x:c r="B22" s="12" t="str">
        <x:v>Year 1</x:v>
      </x:c>
      <x:c r="C22" s="12" t="str">
        <x:v>Every session shall use fictional profiles and simulated values, with persistent SIMULATED labels on screens, exports and transmissions.</x:v>
      </x:c>
      <x:c r="D22" s="12" t="str">
        <x:v>JB-V-10</x:v>
      </x:c>
      <x:c r="E22" s="12" t="str">
        <x:v>JB-H-07;JB-H-08</x:v>
      </x:c>
      <x:c r="F22" s="12" t="str">
        <x:v>BLOCKED - NOT TESTED</x:v>
      </x:c>
      <x:c r="G22" s="12" t="str">
        <x:v>Faisal Farouq</x:v>
      </x:c>
      <x:c r="H22" s="12" t="str">
        <x:v>R0.1</x:v>
      </x:c>
      <x:c r="I22" s="12" t="str">
        <x:v>2026-10-23</x:v>
      </x:c>
    </x:row>
    <x:row r="23" ht="39" customHeight="1">
      <x:c r="A23" s="5" t="str">
        <x:v>JB-R-018</x:v>
      </x:c>
      <x:c r="B23" s="5" t="str">
        <x:v>Year 1</x:v>
      </x:c>
      <x:c r="C23" s="5" t="str">
        <x:v>Profiles shall hold consented preferences and consent scope, and support withdrawal with an auditable action.</x:v>
      </x:c>
      <x:c r="D23" s="5" t="str">
        <x:v>JB-V-11</x:v>
      </x:c>
      <x:c r="E23" s="5" t="str">
        <x:v>JB-H-07</x:v>
      </x:c>
      <x:c r="F23" s="5" t="str">
        <x:v>BLOCKED - NOT TESTED</x:v>
      </x:c>
      <x:c r="G23" s="5" t="str">
        <x:v>Faisal Farouq</x:v>
      </x:c>
      <x:c r="H23" s="5" t="str">
        <x:v>R0.1</x:v>
      </x:c>
      <x:c r="I23" s="5" t="str">
        <x:v>2026-10-23</x:v>
      </x:c>
    </x:row>
    <x:row r="24" ht="39" customHeight="1">
      <x:c r="A24" s="12" t="str">
        <x:v>JB-R-019</x:v>
      </x:c>
      <x:c r="B24" s="12" t="str">
        <x:v>Year 1</x:v>
      </x:c>
      <x:c r="C24" s="12" t="str">
        <x:v>Companion mode shall support friendly conversation, jokes, stories, music or relaxation and at least one trivia, memory, word and matching activity.</x:v>
      </x:c>
      <x:c r="D24" s="12" t="str">
        <x:v>JB-V-12</x:v>
      </x:c>
      <x:c r="E24" s="12" t="str">
        <x:v>JB-H-09</x:v>
      </x:c>
      <x:c r="F24" s="12" t="str">
        <x:v>BLOCKED - NOT TESTED</x:v>
      </x:c>
      <x:c r="G24" s="12" t="str">
        <x:v>Faisal Farouq</x:v>
      </x:c>
      <x:c r="H24" s="12" t="str">
        <x:v>R0.1</x:v>
      </x:c>
      <x:c r="I24" s="12" t="str">
        <x:v>2026-10-23</x:v>
      </x:c>
    </x:row>
    <x:row r="25" ht="39" customHeight="1">
      <x:c r="A25" s="5" t="str">
        <x:v>JB-R-020</x:v>
      </x:c>
      <x:c r="B25" s="5" t="str">
        <x:v>Year 1</x:v>
      </x:c>
      <x:c r="C25" s="5" t="str">
        <x:v>Interaction shall offer child, adult, older-adult, rehabilitation and limited-speech or mobility presets with caregiver control.</x:v>
      </x:c>
      <x:c r="D25" s="5" t="str">
        <x:v>JB-V-12</x:v>
      </x:c>
      <x:c r="E25" s="5" t="str">
        <x:v>JB-H-09;JB-H-16</x:v>
      </x:c>
      <x:c r="F25" s="5" t="str">
        <x:v>BLOCKED - NOT TESTED</x:v>
      </x:c>
      <x:c r="G25" s="5" t="str">
        <x:v>Faisal Farouq</x:v>
      </x:c>
      <x:c r="H25" s="5" t="str">
        <x:v>R0.1</x:v>
      </x:c>
      <x:c r="I25" s="5" t="str">
        <x:v>2026-10-23</x:v>
      </x:c>
    </x:row>
    <x:row r="26" ht="39" customHeight="1">
      <x:c r="A26" s="12" t="str">
        <x:v>JB-R-021</x:v>
      </x:c>
      <x:c r="B26" s="12" t="str">
        <x:v>Year 1</x:v>
      </x:c>
      <x:c r="C26" s="12" t="str">
        <x:v>Unclear input shall cause clarification; sensitive or clinically important input shall offer human handoff and avoid clinical advice.</x:v>
      </x:c>
      <x:c r="D26" s="12" t="str">
        <x:v>JB-V-13</x:v>
      </x:c>
      <x:c r="E26" s="12" t="str">
        <x:v>JB-H-09</x:v>
      </x:c>
      <x:c r="F26" s="12" t="str">
        <x:v>BLOCKED - NOT TESTED</x:v>
      </x:c>
      <x:c r="G26" s="12" t="str">
        <x:v>Faisal Farouq</x:v>
      </x:c>
      <x:c r="H26" s="12" t="str">
        <x:v>R0.1</x:v>
      </x:c>
      <x:c r="I26" s="12" t="str">
        <x:v>2026-10-23</x:v>
      </x:c>
    </x:row>
    <x:row r="27" ht="39" customHeight="1">
      <x:c r="A27" s="5" t="str">
        <x:v>JB-R-022</x:v>
      </x:c>
      <x:c r="B27" s="5" t="str">
        <x:v>Year 1</x:v>
      </x:c>
      <x:c r="C27" s="5" t="str">
        <x:v>Scheduled social check-ins and an approved caregiver audio or video call shall be demonstrated with consent and visible connection state.</x:v>
      </x:c>
      <x:c r="D27" s="5" t="str">
        <x:v>JB-V-14</x:v>
      </x:c>
      <x:c r="E27" s="5" t="str">
        <x:v>JB-H-07;JB-H-10</x:v>
      </x:c>
      <x:c r="F27" s="5" t="str">
        <x:v>BLOCKED - NOT TESTED</x:v>
      </x:c>
      <x:c r="G27" s="5" t="str">
        <x:v>Faisal Farouq</x:v>
      </x:c>
      <x:c r="H27" s="5" t="str">
        <x:v>R0.1</x:v>
      </x:c>
      <x:c r="I27" s="5" t="str">
        <x:v>2026-10-23</x:v>
      </x:c>
    </x:row>
    <x:row r="28" ht="39" customHeight="1">
      <x:c r="A28" s="12" t="str">
        <x:v>JB-R-023</x:v>
      </x:c>
      <x:c r="B28" s="12" t="str">
        <x:v>Year 1</x:v>
      </x:c>
      <x:c r="C28" s="12" t="str">
        <x:v>Each observation shall retain simulated flag, value, unit, source, observed time, recorded time, actor and unique record identifier.</x:v>
      </x:c>
      <x:c r="D28" s="12" t="str">
        <x:v>JB-V-15</x:v>
      </x:c>
      <x:c r="E28" s="12" t="str">
        <x:v>JB-H-08</x:v>
      </x:c>
      <x:c r="F28" s="12" t="str">
        <x:v>BLOCKED - NOT TESTED</x:v>
      </x:c>
      <x:c r="G28" s="12" t="str">
        <x:v>Faisal Farouq</x:v>
      </x:c>
      <x:c r="H28" s="12" t="str">
        <x:v>R0.1</x:v>
      </x:c>
      <x:c r="I28" s="12" t="str">
        <x:v>2026-10-23</x:v>
      </x:c>
    </x:row>
    <x:row r="29" ht="39" customHeight="1">
      <x:c r="A29" s="5" t="str">
        <x:v>JB-R-024</x:v>
      </x:c>
      <x:c r="B29" s="5" t="str">
        <x:v>Year 1</x:v>
      </x:c>
      <x:c r="C29" s="5" t="str">
        <x:v>Patient notes, caregiver notes, appointment and activity logs, trends and shift summaries shall preserve source and statement type.</x:v>
      </x:c>
      <x:c r="D29" s="5" t="str">
        <x:v>JB-V-15</x:v>
      </x:c>
      <x:c r="E29" s="5" t="str">
        <x:v>JB-H-08</x:v>
      </x:c>
      <x:c r="F29" s="5" t="str">
        <x:v>BLOCKED - NOT TESTED</x:v>
      </x:c>
      <x:c r="G29" s="5" t="str">
        <x:v>Faisal Farouq</x:v>
      </x:c>
      <x:c r="H29" s="5" t="str">
        <x:v>R0.1</x:v>
      </x:c>
      <x:c r="I29" s="5" t="str">
        <x:v>2026-10-23</x:v>
      </x:c>
    </x:row>
    <x:row r="30" ht="39" customHeight="1">
      <x:c r="A30" s="12" t="str">
        <x:v>JB-R-025</x:v>
      </x:c>
      <x:c r="B30" s="12" t="str">
        <x:v>Year 1</x:v>
      </x:c>
      <x:c r="C30" s="12" t="str">
        <x:v>Record corrections shall create linked revisions preserving originals and shall audit create, view, change and transmit events.</x:v>
      </x:c>
      <x:c r="D30" s="12" t="str">
        <x:v>JB-V-16</x:v>
      </x:c>
      <x:c r="E30" s="12" t="str">
        <x:v>JB-H-08</x:v>
      </x:c>
      <x:c r="F30" s="12" t="str">
        <x:v>BLOCKED - NOT TESTED</x:v>
      </x:c>
      <x:c r="G30" s="12" t="str">
        <x:v>Faisal Farouq</x:v>
      </x:c>
      <x:c r="H30" s="12" t="str">
        <x:v>R0.1</x:v>
      </x:c>
      <x:c r="I30" s="12" t="str">
        <x:v>2026-10-23</x:v>
      </x:c>
    </x:row>
    <x:row r="31" ht="39" customHeight="1">
      <x:c r="A31" s="5" t="str">
        <x:v>JB-R-026</x:v>
      </x:c>
      <x:c r="B31" s="5" t="str">
        <x:v>Year 1</x:v>
      </x:c>
      <x:c r="C31" s="5" t="str">
        <x:v>The local mock FHIR-style interface shall export human-readable reports and reject live EHR endpoint configuration.</x:v>
      </x:c>
      <x:c r="D31" s="5" t="str">
        <x:v>JB-V-17</x:v>
      </x:c>
      <x:c r="E31" s="5" t="str">
        <x:v>JB-H-07</x:v>
      </x:c>
      <x:c r="F31" s="5" t="str">
        <x:v>BLOCKED - NOT TESTED</x:v>
      </x:c>
      <x:c r="G31" s="5" t="str">
        <x:v>Faisal Farouq</x:v>
      </x:c>
      <x:c r="H31" s="5" t="str">
        <x:v>R0.1</x:v>
      </x:c>
      <x:c r="I31" s="5" t="str">
        <x:v>2026-10-23</x:v>
      </x:c>
    </x:row>
    <x:row r="32" ht="39" customHeight="1">
      <x:c r="A32" s="12" t="str">
        <x:v>JB-R-027</x:v>
      </x:c>
      <x:c r="B32" s="12" t="str">
        <x:v>Year 1</x:v>
      </x:c>
      <x:c r="C32" s="12" t="str">
        <x:v>Medication screens shall show original human-entered simulated instructions verbatim with version and schedule provenance.</x:v>
      </x:c>
      <x:c r="D32" s="12" t="str">
        <x:v>JB-V-18</x:v>
      </x:c>
      <x:c r="E32" s="12" t="str">
        <x:v>JB-H-06</x:v>
      </x:c>
      <x:c r="F32" s="12" t="str">
        <x:v>BLOCKED - NOT TESTED</x:v>
      </x:c>
      <x:c r="G32" s="12" t="str">
        <x:v>Faisal Farouq</x:v>
      </x:c>
      <x:c r="H32" s="12" t="str">
        <x:v>R0.1</x:v>
      </x:c>
      <x:c r="I32" s="12" t="str">
        <x:v>2026-10-23</x:v>
      </x:c>
    </x:row>
    <x:row r="33" ht="39" customHeight="1">
      <x:c r="A33" s="5" t="str">
        <x:v>JB-R-028</x:v>
      </x:c>
      <x:c r="B33" s="5" t="str">
        <x:v>Year 1</x:v>
      </x:c>
      <x:c r="C33" s="5" t="str">
        <x:v>User-configured medication reminders shall log taken, skipped, postponed or no response without inferring ingestion.</x:v>
      </x:c>
      <x:c r="D33" s="5" t="str">
        <x:v>JB-V-18</x:v>
      </x:c>
      <x:c r="E33" s="5" t="str">
        <x:v>JB-H-06</x:v>
      </x:c>
      <x:c r="F33" s="5" t="str">
        <x:v>BLOCKED - NOT TESTED</x:v>
      </x:c>
      <x:c r="G33" s="5" t="str">
        <x:v>Faisal Farouq</x:v>
      </x:c>
      <x:c r="H33" s="5" t="str">
        <x:v>R0.1</x:v>
      </x:c>
      <x:c r="I33" s="5" t="str">
        <x:v>2026-10-23</x:v>
      </x:c>
    </x:row>
    <x:row r="34" ht="39" customHeight="1">
      <x:c r="A34" s="12" t="str">
        <x:v>JB-R-029</x:v>
      </x:c>
      <x:c r="B34" s="12" t="str">
        <x:v>Year 1</x:v>
      </x:c>
      <x:c r="C34" s="12" t="str">
        <x:v>A scripted missed dose shall prepare an approved-recipient notice; sending requires explicit confirmation of the exact preview.</x:v>
      </x:c>
      <x:c r="D34" s="12" t="str">
        <x:v>JB-V-19</x:v>
      </x:c>
      <x:c r="E34" s="12" t="str">
        <x:v>JB-H-06;JB-H-07</x:v>
      </x:c>
      <x:c r="F34" s="12" t="str">
        <x:v>BLOCKED - NOT TESTED</x:v>
      </x:c>
      <x:c r="G34" s="12" t="str">
        <x:v>Faisal Farouq</x:v>
      </x:c>
      <x:c r="H34" s="12" t="str">
        <x:v>R0.1</x:v>
      </x:c>
      <x:c r="I34" s="12" t="str">
        <x:v>2026-10-23</x:v>
      </x:c>
    </x:row>
    <x:row r="35" ht="39" customHeight="1">
      <x:c r="A35" s="5" t="str">
        <x:v>JB-R-030</x:v>
      </x:c>
      <x:c r="B35" s="5" t="str">
        <x:v>Year 1</x:v>
      </x:c>
      <x:c r="C35" s="5" t="str">
        <x:v>Medication changes shall require an authorized human confirmation and retain before and after versions; double-dose and schedule advice shall be blocked.</x:v>
      </x:c>
      <x:c r="D35" s="5" t="str">
        <x:v>JB-V-18</x:v>
      </x:c>
      <x:c r="E35" s="5" t="str">
        <x:v>JB-H-06</x:v>
      </x:c>
      <x:c r="F35" s="5" t="str">
        <x:v>BLOCKED - NOT TESTED</x:v>
      </x:c>
      <x:c r="G35" s="5" t="str">
        <x:v>Faisal Farouq</x:v>
      </x:c>
      <x:c r="H35" s="5" t="str">
        <x:v>R0.1</x:v>
      </x:c>
      <x:c r="I35" s="5" t="str">
        <x:v>2026-10-23</x:v>
      </x:c>
    </x:row>
    <x:row r="36" ht="39" customHeight="1">
      <x:c r="A36" s="12" t="str">
        <x:v>JB-R-031</x:v>
      </x:c>
      <x:c r="B36" s="12" t="str">
        <x:v>Year 1</x:v>
      </x:c>
      <x:c r="C36" s="12" t="str">
        <x:v>Simulated wellness logging shall include heart rate, oxygen saturation, temperature, activity, steps, rest, pain, mood, fatigue, appetite and sleep.</x:v>
      </x:c>
      <x:c r="D36" s="12" t="str">
        <x:v>JB-V-15</x:v>
      </x:c>
      <x:c r="E36" s="12" t="str">
        <x:v>JB-H-08</x:v>
      </x:c>
      <x:c r="F36" s="12" t="str">
        <x:v>BLOCKED - NOT TESTED</x:v>
      </x:c>
      <x:c r="G36" s="12" t="str">
        <x:v>Faisal Farouq</x:v>
      </x:c>
      <x:c r="H36" s="12" t="str">
        <x:v>R0.1</x:v>
      </x:c>
      <x:c r="I36" s="12" t="str">
        <x:v>2026-10-23</x:v>
      </x:c>
    </x:row>
    <x:row r="37" ht="53" customHeight="1">
      <x:c r="A37" s="5" t="str">
        <x:v>JB-R-032</x:v>
      </x:c>
      <x:c r="B37" s="5" t="str">
        <x:v>Year 1</x:v>
      </x:c>
      <x:c r="C37" s="5" t="str">
        <x:v>Hydration, posture and scheduled movement prompts shall be configurable non-treatment reminders; physical rehab motion requires a separately approved script.</x:v>
      </x:c>
      <x:c r="D37" s="5" t="str">
        <x:v>JB-V-12</x:v>
      </x:c>
      <x:c r="E37" s="5" t="str">
        <x:v>JB-H-09</x:v>
      </x:c>
      <x:c r="F37" s="5" t="str">
        <x:v>BLOCKED - NOT TESTED</x:v>
      </x:c>
      <x:c r="G37" s="5" t="str">
        <x:v>Faisal Farouq</x:v>
      </x:c>
      <x:c r="H37" s="5" t="str">
        <x:v>R0.1</x:v>
      </x:c>
      <x:c r="I37" s="5" t="str">
        <x:v>2026-10-23</x:v>
      </x:c>
    </x:row>
    <x:row r="38" ht="53" customHeight="1">
      <x:c r="A38" s="12" t="str">
        <x:v>JB-R-033</x:v>
      </x:c>
      <x:c r="B38" s="12" t="str">
        <x:v>Year 1</x:v>
      </x:c>
      <x:c r="C38" s="12" t="str">
        <x:v>Crossing a scripted demonstration threshold shall display source, value, units and time and offer caregiver contact without diagnosis or emergency conclusions.</x:v>
      </x:c>
      <x:c r="D38" s="12" t="str">
        <x:v>JB-V-13</x:v>
      </x:c>
      <x:c r="E38" s="12" t="str">
        <x:v>JB-H-09;JB-H-10</x:v>
      </x:c>
      <x:c r="F38" s="12" t="str">
        <x:v>BLOCKED - NOT TESTED</x:v>
      </x:c>
      <x:c r="G38" s="12" t="str">
        <x:v>Faisal Farouq</x:v>
      </x:c>
      <x:c r="H38" s="12" t="str">
        <x:v>R0.1</x:v>
      </x:c>
      <x:c r="I38" s="12" t="str">
        <x:v>2026-10-23</x:v>
      </x:c>
    </x:row>
    <x:row r="39" ht="39" customHeight="1">
      <x:c r="A39" s="5" t="str">
        <x:v>JB-R-034</x:v>
      </x:c>
      <x:c r="B39" s="5" t="str">
        <x:v>Year 1</x:v>
      </x:c>
      <x:c r="C39" s="5" t="str">
        <x:v>Non-medical perception shall demonstrate room mapping, obstacle and blocked-path detection, QR or barcodes, labels, printed text and approved objects.</x:v>
      </x:c>
      <x:c r="D39" s="5" t="str">
        <x:v>JB-V-20</x:v>
      </x:c>
      <x:c r="E39" s="5" t="str">
        <x:v>JB-H-11</x:v>
      </x:c>
      <x:c r="F39" s="5" t="str">
        <x:v>BLOCKED - NOT TESTED</x:v>
      </x:c>
      <x:c r="G39" s="5" t="str">
        <x:v>Faisal Farouq</x:v>
      </x:c>
      <x:c r="H39" s="5" t="str">
        <x:v>R0.1</x:v>
      </x:c>
      <x:c r="I39" s="5" t="str">
        <x:v>2026-10-23</x:v>
      </x:c>
    </x:row>
    <x:row r="40" ht="39" customHeight="1">
      <x:c r="A40" s="12" t="str">
        <x:v>JB-R-035</x:v>
      </x:c>
      <x:c r="B40" s="12" t="str">
        <x:v>Year 1</x:v>
      </x:c>
      <x:c r="C40" s="12" t="str">
        <x:v>Object pose and visible changes shall be demonstrated only on approved training objects and shall make uncertainty visible.</x:v>
      </x:c>
      <x:c r="D40" s="12" t="str">
        <x:v>JB-V-20</x:v>
      </x:c>
      <x:c r="E40" s="12" t="str">
        <x:v>JB-H-11</x:v>
      </x:c>
      <x:c r="F40" s="12" t="str">
        <x:v>BLOCKED - NOT TESTED</x:v>
      </x:c>
      <x:c r="G40" s="12" t="str">
        <x:v>Faisal Farouq</x:v>
      </x:c>
      <x:c r="H40" s="12" t="str">
        <x:v>R0.1</x:v>
      </x:c>
      <x:c r="I40" s="12" t="str">
        <x:v>2026-10-23</x:v>
      </x:c>
    </x:row>
    <x:row r="41" ht="39" customHeight="1">
      <x:c r="A41" s="5" t="str">
        <x:v>JB-R-036</x:v>
      </x:c>
      <x:c r="B41" s="5" t="str">
        <x:v>Year 1</x:v>
      </x:c>
      <x:c r="C41" s="5" t="str">
        <x:v>Outbound care reports shall use an allowlist and explicit approval bound to recipient, report version and content hash; altered drafts require reapproval.</x:v>
      </x:c>
      <x:c r="D41" s="5" t="str">
        <x:v>JB-V-19</x:v>
      </x:c>
      <x:c r="E41" s="5" t="str">
        <x:v>JB-H-07</x:v>
      </x:c>
      <x:c r="F41" s="5" t="str">
        <x:v>BLOCKED - NOT TESTED</x:v>
      </x:c>
      <x:c r="G41" s="5" t="str">
        <x:v>Faisal Farouq</x:v>
      </x:c>
      <x:c r="H41" s="5" t="str">
        <x:v>R0.1</x:v>
      </x:c>
      <x:c r="I41" s="5" t="str">
        <x:v>2026-10-23</x:v>
      </x:c>
    </x:row>
    <x:row r="42" ht="39" customHeight="1">
      <x:c r="A42" s="12" t="str">
        <x:v>JB-R-037</x:v>
      </x:c>
      <x:c r="B42" s="12" t="str">
        <x:v>Year 1</x:v>
      </x:c>
      <x:c r="C42" s="12" t="str">
        <x:v>Report previews shall distinguish measured simulation facts, patient statements, robot observations and unknowns, with timestamps and robot status.</x:v>
      </x:c>
      <x:c r="D42" s="12" t="str">
        <x:v>JB-V-19</x:v>
      </x:c>
      <x:c r="E42" s="12" t="str">
        <x:v>JB-H-08</x:v>
      </x:c>
      <x:c r="F42" s="12" t="str">
        <x:v>BLOCKED - NOT TESTED</x:v>
      </x:c>
      <x:c r="G42" s="12" t="str">
        <x:v>Faisal Farouq</x:v>
      </x:c>
      <x:c r="H42" s="12" t="str">
        <x:v>R0.1</x:v>
      </x:c>
      <x:c r="I42" s="12" t="str">
        <x:v>2026-10-23</x:v>
      </x:c>
    </x:row>
    <x:row r="43" ht="53" customHeight="1">
      <x:c r="A43" s="5" t="str">
        <x:v>JB-R-038</x:v>
      </x:c>
      <x:c r="B43" s="5" t="str">
        <x:v>Year 1</x:v>
      </x:c>
      <x:c r="C43" s="5" t="str">
        <x:v>The communication service shall audit attempts, deduplicate retries, show endpoint acknowledgement separately from human review and retain a manual call button.</x:v>
      </x:c>
      <x:c r="D43" s="5" t="str">
        <x:v>JB-V-21</x:v>
      </x:c>
      <x:c r="E43" s="5" t="str">
        <x:v>JB-H-10</x:v>
      </x:c>
      <x:c r="F43" s="5" t="str">
        <x:v>BLOCKED - NOT TESTED</x:v>
      </x:c>
      <x:c r="G43" s="5" t="str">
        <x:v>Faisal Farouq</x:v>
      </x:c>
      <x:c r="H43" s="5" t="str">
        <x:v>R0.1</x:v>
      </x:c>
      <x:c r="I43" s="5" t="str">
        <x:v>2026-10-23</x:v>
      </x:c>
    </x:row>
    <x:row r="44" ht="53" customHeight="1">
      <x:c r="A44" s="12" t="str">
        <x:v>JB-R-039</x:v>
      </x:c>
      <x:c r="B44" s="12" t="str">
        <x:v>Year 1</x:v>
      </x:c>
      <x:c r="C44" s="12" t="str">
        <x:v>Communication priority shall be routine, caregiver attention, immediate human contact requested or system assistance; no level shall imply a medical diagnosis.</x:v>
      </x:c>
      <x:c r="D44" s="12" t="str">
        <x:v>JB-V-21</x:v>
      </x:c>
      <x:c r="E44" s="12" t="str">
        <x:v>JB-H-10</x:v>
      </x:c>
      <x:c r="F44" s="12" t="str">
        <x:v>BLOCKED - NOT TESTED</x:v>
      </x:c>
      <x:c r="G44" s="12" t="str">
        <x:v>Faisal Farouq</x:v>
      </x:c>
      <x:c r="H44" s="12" t="str">
        <x:v>R0.1</x:v>
      </x:c>
      <x:c r="I44" s="12" t="str">
        <x:v>2026-10-23</x:v>
      </x:c>
    </x:row>
    <x:row r="45" ht="39" customHeight="1">
      <x:c r="A45" s="5" t="str">
        <x:v>JB-R-040</x:v>
      </x:c>
      <x:c r="B45" s="5" t="str">
        <x:v>Year 1</x:v>
      </x:c>
      <x:c r="C45" s="5" t="str">
        <x:v>A 2 kg inert object shall move through a defined supported stationary handling trajectory for 10 supervised repetitions.</x:v>
      </x:c>
      <x:c r="D45" s="5" t="str">
        <x:v>JB-V-22</x:v>
      </x:c>
      <x:c r="E45" s="5" t="str">
        <x:v>JB-H-05</x:v>
      </x:c>
      <x:c r="F45" s="5" t="str">
        <x:v>BLOCKED - NOT TESTED</x:v>
      </x:c>
      <x:c r="G45" s="5" t="str">
        <x:v>Faisal Farouq</x:v>
      </x:c>
      <x:c r="H45" s="5" t="str">
        <x:v>R0.1</x:v>
      </x:c>
      <x:c r="I45" s="5" t="str">
        <x:v>2026-10-23</x:v>
      </x:c>
    </x:row>
    <x:row r="46" ht="53" customHeight="1">
      <x:c r="A46" s="12" t="str">
        <x:v>JB-R-041</x:v>
      </x:c>
      <x:c r="B46" s="12" t="str">
        <x:v>Year 1</x:v>
      </x:c>
      <x:c r="C46" s="12" t="str">
        <x:v>Handling shall log payload, position, current, temperature, relevant force and stop events; approved limits and compliant retention shall be verified before load.</x:v>
      </x:c>
      <x:c r="D46" s="12" t="str">
        <x:v>JB-V-22</x:v>
      </x:c>
      <x:c r="E46" s="12" t="str">
        <x:v>JB-H-05</x:v>
      </x:c>
      <x:c r="F46" s="12" t="str">
        <x:v>BLOCKED - NOT TESTED</x:v>
      </x:c>
      <x:c r="G46" s="12" t="str">
        <x:v>Faisal Farouq</x:v>
      </x:c>
      <x:c r="H46" s="12" t="str">
        <x:v>R0.1</x:v>
      </x:c>
      <x:c r="I46" s="12" t="str">
        <x:v>2026-10-23</x:v>
      </x:c>
    </x:row>
    <x:row r="47" ht="39" customHeight="1">
      <x:c r="A47" s="5" t="str">
        <x:v>JB-R-042</x:v>
      </x:c>
      <x:c r="B47" s="5" t="str">
        <x:v>Year 1</x:v>
      </x:c>
      <x:c r="C47" s="5" t="str">
        <x:v>Walking shall be interlocked against attached test payload; handling shall require a mechanically secured stationary configuration.</x:v>
      </x:c>
      <x:c r="D47" s="5" t="str">
        <x:v>JB-V-23</x:v>
      </x:c>
      <x:c r="E47" s="5" t="str">
        <x:v>JB-H-05</x:v>
      </x:c>
      <x:c r="F47" s="5" t="str">
        <x:v>BLOCKED - NOT TESTED</x:v>
      </x:c>
      <x:c r="G47" s="5" t="str">
        <x:v>Faisal Farouq</x:v>
      </x:c>
      <x:c r="H47" s="5" t="str">
        <x:v>R0.1</x:v>
      </x:c>
      <x:c r="I47" s="5" t="str">
        <x:v>2026-10-23</x:v>
      </x:c>
    </x:row>
    <x:row r="48" ht="39" customHeight="1">
      <x:c r="A48" s="12" t="str">
        <x:v>JB-R-043</x:v>
      </x:c>
      <x:c r="B48" s="12" t="str">
        <x:v>Year 1</x:v>
      </x:c>
      <x:c r="C48" s="12" t="str">
        <x:v>Evidence shall include configuration, software version, model version, calibration, raw synchronized logs, outcome and limitations for each executed test.</x:v>
      </x:c>
      <x:c r="D48" s="12" t="str">
        <x:v>JB-V-24</x:v>
      </x:c>
      <x:c r="E48" s="12" t="str">
        <x:v>JB-H-15</x:v>
      </x:c>
      <x:c r="F48" s="12" t="str">
        <x:v>BLOCKED - NOT TESTED</x:v>
      </x:c>
      <x:c r="G48" s="12" t="str">
        <x:v>Faisal Farouq</x:v>
      </x:c>
      <x:c r="H48" s="12" t="str">
        <x:v>R0.1</x:v>
      </x:c>
      <x:c r="I48" s="12" t="str">
        <x:v>2026-10-23</x:v>
      </x:c>
    </x:row>
    <x:row r="49" ht="53" customHeight="1">
      <x:c r="A49" s="5" t="str">
        <x:v>JB-R-044</x:v>
      </x:c>
      <x:c r="B49" s="5" t="str">
        <x:v>Year 1</x:v>
      </x:c>
      <x:c r="C49" s="5" t="str">
        <x:v>Major procurement and fabrication shall require accepted requirements, frozen interfaces, mass, torque-speed, thermal and power models, simulation, quotes, independent review, named fabricator and inspection plan.</x:v>
      </x:c>
      <x:c r="D49" s="5" t="str">
        <x:v>JB-V-03</x:v>
      </x:c>
      <x:c r="E49" s="5" t="str">
        <x:v>JB-H-18</x:v>
      </x:c>
      <x:c r="F49" s="5" t="str">
        <x:v>BLOCKED - NOT TESTED</x:v>
      </x:c>
      <x:c r="G49" s="5" t="str">
        <x:v>Faisal Farouq</x:v>
      </x:c>
      <x:c r="H49" s="5" t="str">
        <x:v>R0.1</x:v>
      </x:c>
      <x:c r="I49" s="5" t="str">
        <x:v>2026-10-23</x:v>
      </x:c>
    </x:row>
    <x:row r="50" ht="39" customHeight="1">
      <x:c r="A50" s="12" t="str">
        <x:v>JB-R-045</x:v>
      </x:c>
      <x:c r="B50" s="12" t="str">
        <x:v>Year 1</x:v>
      </x:c>
      <x:c r="C50" s="12" t="str">
        <x:v>Integration shall follow the 16-stage test order; two previously unvalidated hazardous subsystems shall not be combined in a public demonstration.</x:v>
      </x:c>
      <x:c r="D50" s="12" t="str">
        <x:v>JB-V-25</x:v>
      </x:c>
      <x:c r="E50" s="12" t="str">
        <x:v>JB-H-19</x:v>
      </x:c>
      <x:c r="F50" s="12" t="str">
        <x:v>BLOCKED - NOT TESTED</x:v>
      </x:c>
      <x:c r="G50" s="12" t="str">
        <x:v>Faisal Farouq</x:v>
      </x:c>
      <x:c r="H50" s="12" t="str">
        <x:v>R0.1</x:v>
      </x:c>
      <x:c r="I50" s="12" t="str">
        <x:v>2026-10-23</x:v>
      </x:c>
    </x:row>
    <x:row r="51" ht="39" customHeight="1">
      <x:c r="A51" s="5" t="str">
        <x:v>JB-R-046</x:v>
      </x:c>
      <x:c r="B51" s="5" t="str">
        <x:v>Year 1</x:v>
      </x:c>
      <x:c r="C51" s="5" t="str">
        <x:v>Privacy mode shall visibly disable camera and microphone capture; endpoint outage shall preserve local control, records and truthful communication state.</x:v>
      </x:c>
      <x:c r="D51" s="5" t="str">
        <x:v>JB-V-11</x:v>
      </x:c>
      <x:c r="E51" s="5" t="str">
        <x:v>JB-H-07;JB-H-10</x:v>
      </x:c>
      <x:c r="F51" s="5" t="str">
        <x:v>BLOCKED - NOT TESTED</x:v>
      </x:c>
      <x:c r="G51" s="5" t="str">
        <x:v>Faisal Farouq</x:v>
      </x:c>
      <x:c r="H51" s="5" t="str">
        <x:v>R0.1</x:v>
      </x:c>
      <x:c r="I51" s="5" t="str">
        <x:v>2026-10-23</x:v>
      </x:c>
    </x:row>
    <x:row r="52" ht="39" customHeight="1">
      <x:c r="A52" s="12" t="str">
        <x:v>JB-R-047</x:v>
      </x:c>
      <x:c r="B52" s="12" t="str">
        <x:v>Year 1</x:v>
      </x:c>
      <x:c r="C52" s="12" t="str">
        <x:v>Safety, thermal and electrical faults shall generate deterministic local indications; AI and network failure shall not prevent emergency stopping.</x:v>
      </x:c>
      <x:c r="D52" s="12" t="str">
        <x:v>JB-V-08</x:v>
      </x:c>
      <x:c r="E52" s="12" t="str">
        <x:v>JB-H-03;JB-H-04</x:v>
      </x:c>
      <x:c r="F52" s="12" t="str">
        <x:v>BLOCKED - NOT TESTED</x:v>
      </x:c>
      <x:c r="G52" s="12" t="str">
        <x:v>Faisal Farouq</x:v>
      </x:c>
      <x:c r="H52" s="12" t="str">
        <x:v>R0.1</x:v>
      </x:c>
      <x:c r="I52" s="12" t="str">
        <x:v>2026-10-23</x:v>
      </x:c>
    </x:row>
    <x:row r="53" ht="39" customHeight="1">
      <x:c r="A53" s="5" t="str">
        <x:v>JB-R-048</x:v>
      </x:c>
      <x:c r="B53" s="5" t="str">
        <x:v>Year 1</x:v>
      </x:c>
      <x:c r="C53" s="5" t="str">
        <x:v>Software-only caregiver functions shall be demonstrated on a laptop before powered walking integration.</x:v>
      </x:c>
      <x:c r="D53" s="5" t="str">
        <x:v>JB-V-25</x:v>
      </x:c>
      <x:c r="E53" s="5" t="str"/>
      <x:c r="F53" s="5" t="str">
        <x:v>BLOCKED - NOT TESTED</x:v>
      </x:c>
      <x:c r="G53" s="5" t="str">
        <x:v>Faisal Farouq</x:v>
      </x:c>
      <x:c r="H53" s="5" t="str">
        <x:v>R0.1</x:v>
      </x:c>
      <x:c r="I53" s="5" t="str">
        <x:v>2026-10-23</x:v>
      </x:c>
    </x:row>
    <x:row r="54" ht="39" customHeight="1">
      <x:c r="A54" s="12" t="str">
        <x:v>JB-R-049</x:v>
      </x:c>
      <x:c r="B54" s="12" t="str">
        <x:v>Year 1</x:v>
      </x:c>
      <x:c r="C54" s="12" t="str">
        <x:v>Every alert and action shall explain its observed trigger, rule or authorization, action and unresolved uncertainty.</x:v>
      </x:c>
      <x:c r="D54" s="12" t="str">
        <x:v>JB-V-13</x:v>
      </x:c>
      <x:c r="E54" s="12" t="str">
        <x:v>JB-H-09</x:v>
      </x:c>
      <x:c r="F54" s="12" t="str">
        <x:v>BLOCKED - NOT TESTED</x:v>
      </x:c>
      <x:c r="G54" s="12" t="str">
        <x:v>Faisal Farouq</x:v>
      </x:c>
      <x:c r="H54" s="12" t="str">
        <x:v>R0.1</x:v>
      </x:c>
      <x:c r="I54" s="12" t="str">
        <x:v>2026-10-23</x:v>
      </x:c>
    </x:row>
    <x:row r="55" ht="39" customHeight="1">
      <x:c r="A55" s="5" t="str">
        <x:v>JB-R-050</x:v>
      </x:c>
      <x:c r="B55" s="5" t="str">
        <x:v>Year 1</x:v>
      </x:c>
      <x:c r="C55" s="5" t="str">
        <x:v>Cleaning and battery maintenance instructions shall match selected materials and components and be reviewed before physical demonstration.</x:v>
      </x:c>
      <x:c r="D55" s="5" t="str">
        <x:v>JB-V-07</x:v>
      </x:c>
      <x:c r="E55" s="5" t="str">
        <x:v>JB-H-13</x:v>
      </x:c>
      <x:c r="F55" s="5" t="str">
        <x:v>BLOCKED - NOT TESTED</x:v>
      </x:c>
      <x:c r="G55" s="5" t="str">
        <x:v>Faisal Farouq</x:v>
      </x:c>
      <x:c r="H55" s="5" t="str">
        <x:v>R0.1</x:v>
      </x:c>
      <x:c r="I55" s="5" t="str">
        <x:v>2026-10-23</x:v>
      </x:c>
    </x:row>
    <x:row r="56" ht="39" customHeight="1">
      <x:c r="A56" s="12" t="str">
        <x:v>JB-R-051</x:v>
      </x:c>
      <x:c r="B56" s="12" t="str">
        <x:v>Later</x:v>
      </x:c>
      <x:c r="C56" s="12" t="str">
        <x:v>A 5 kg payload may be reconsidered only after structural, actuation, thermal, electrical, stability and safety review; it is not a Year 1 commitment.</x:v>
      </x:c>
      <x:c r="D56" s="12" t="str">
        <x:v>JB-V-26</x:v>
      </x:c>
      <x:c r="E56" s="12" t="str">
        <x:v>JB-H-05</x:v>
      </x:c>
      <x:c r="F56" s="12" t="str">
        <x:v>BLOCKED - NOT TESTED</x:v>
      </x:c>
      <x:c r="G56" s="12" t="str">
        <x:v>Faisal Farouq</x:v>
      </x:c>
      <x:c r="H56" s="12" t="str">
        <x:v>R0.1</x:v>
      </x:c>
      <x:c r="I56" s="12" t="str">
        <x:v>2026-10-23</x:v>
      </x:c>
    </x:row>
    <x:row r="57" ht="39" customHeight="1">
      <x:c r="A57" s="5" t="str">
        <x:v>JB-R-052</x:v>
      </x:c>
      <x:c r="B57" s="5" t="str">
        <x:v>Later</x:v>
      </x:c>
      <x:c r="C57" s="5" t="str">
        <x:v>Supply carts, powered trolleys, cargo drawers and detachable handling modules shall be evaluated before increasing biped payload.</x:v>
      </x:c>
      <x:c r="D57" s="5" t="str">
        <x:v>JB-V-26</x:v>
      </x:c>
      <x:c r="E57" s="5" t="str"/>
      <x:c r="F57" s="5" t="str">
        <x:v>BLOCKED - NOT TESTED</x:v>
      </x:c>
      <x:c r="G57" s="5" t="str">
        <x:v>Faisal Farouq</x:v>
      </x:c>
      <x:c r="H57" s="5" t="str">
        <x:v>R0.1</x:v>
      </x:c>
      <x:c r="I57" s="5" t="str">
        <x:v>2026-10-23</x:v>
      </x:c>
    </x:row>
    <x:row r="58" ht="53" customHeight="1">
      <x:c r="A58" s="12" t="str">
        <x:v>JB-R-053</x:v>
      </x:c>
      <x:c r="B58" s="12" t="str">
        <x:v>Later</x:v>
      </x:c>
      <x:c r="C58" s="12" t="str">
        <x:v>Live care-system integration, real patient data or patient studies shall require separate privacy, clinical, cybersecurity, governance and applicable regulatory reviews.</x:v>
      </x:c>
      <x:c r="D58" s="12" t="str">
        <x:v>JB-V-26</x:v>
      </x:c>
      <x:c r="E58" s="12" t="str">
        <x:v>JB-H-07</x:v>
      </x:c>
      <x:c r="F58" s="12" t="str">
        <x:v>BLOCKED - NOT TESTED</x:v>
      </x:c>
      <x:c r="G58" s="12" t="str">
        <x:v>Faisal Farouq</x:v>
      </x:c>
      <x:c r="H58" s="12" t="str">
        <x:v>R0.1</x:v>
      </x:c>
      <x:c r="I58" s="12" t="str">
        <x:v>2026-10-23</x:v>
      </x:c>
    </x:row>
    <x:row r="59" ht="39" customHeight="1">
      <x:c r="A59" s="5" t="str">
        <x:v>JB-R-054</x:v>
      </x:c>
      <x:c r="B59" s="5" t="str">
        <x:v>Later</x:v>
      </x:c>
      <x:c r="C59" s="5" t="str">
        <x:v>Any medical-scanning subsystem shall have separate clinical and regulatory scope, validation and authorization before development release.</x:v>
      </x:c>
      <x:c r="D59" s="5" t="str">
        <x:v>JB-V-26</x:v>
      </x:c>
      <x:c r="E59" s="5" t="str">
        <x:v>JB-H-09</x:v>
      </x:c>
      <x:c r="F59" s="5" t="str">
        <x:v>BLOCKED - NOT TESTED</x:v>
      </x:c>
      <x:c r="G59" s="5" t="str">
        <x:v>Faisal Farouq</x:v>
      </x:c>
      <x:c r="H59" s="5" t="str">
        <x:v>R0.1</x:v>
      </x:c>
      <x:c r="I59" s="5" t="str">
        <x:v>2026-10-23</x:v>
      </x:c>
    </x:row>
    <x:row r="60" ht="39" customHeight="1">
      <x:c r="A60" s="12" t="str">
        <x:v>JB-R-055</x:v>
      </x:c>
      <x:c r="B60" s="12" t="str">
        <x:v>Later</x:v>
      </x:c>
      <x:c r="C60" s="12" t="str">
        <x:v>Untethered walking, turning, stairs, public-area navigation and walking with cargo shall require new requirements and safety cases.</x:v>
      </x:c>
      <x:c r="D60" s="12" t="str">
        <x:v>JB-V-26</x:v>
      </x:c>
      <x:c r="E60" s="12" t="str">
        <x:v>JB-H-01</x:v>
      </x:c>
      <x:c r="F60" s="12" t="str">
        <x:v>BLOCKED - NOT TESTED</x:v>
      </x:c>
      <x:c r="G60" s="12" t="str">
        <x:v>Faisal Farouq</x:v>
      </x:c>
      <x:c r="H60" s="12" t="str">
        <x:v>R0.1</x:v>
      </x:c>
      <x:c r="I60" s="12" t="str">
        <x:v>2026-10-23</x:v>
      </x:c>
    </x:row>
    <x:row r="61" ht="53" customHeight="1">
      <x:c r="A61" s="5" t="str">
        <x:v>JB-R-056</x:v>
      </x:c>
      <x:c r="B61" s="5" t="str">
        <x:v>Later</x:v>
      </x:c>
      <x:c r="C61" s="5" t="str">
        <x:v>Multilingual interaction, room controls, family media, delivery requests and clinician-directed rehabilitation shall require separate benefit and risk review.</x:v>
      </x:c>
      <x:c r="D61" s="5" t="str">
        <x:v>JB-V-26</x:v>
      </x:c>
      <x:c r="E61" s="5" t="str">
        <x:v>JB-H-16</x:v>
      </x:c>
      <x:c r="F61" s="5" t="str">
        <x:v>BLOCKED - NOT TESTED</x:v>
      </x:c>
      <x:c r="G61" s="5" t="str">
        <x:v>Faisal Farouq</x:v>
      </x:c>
      <x:c r="H61" s="5" t="str">
        <x:v>R0.1</x:v>
      </x:c>
      <x:c r="I61" s="5" t="str">
        <x:v>2026-10-23</x:v>
      </x:c>
    </x:row>
    <x:row r="62" ht="39" customHeight="1">
      <x:c r="A62" s="12" t="str">
        <x:v>JB-R-057</x:v>
      </x:c>
      <x:c r="B62" s="12" t="str">
        <x:v>Excluded</x:v>
      </x:c>
      <x:c r="C62" s="12" t="str">
        <x:v>The robot shall not diagnose, recommend treatment, interpret clinical scans or claim disease detection.</x:v>
      </x:c>
      <x:c r="D62" s="12" t="str">
        <x:v>JB-V-13</x:v>
      </x:c>
      <x:c r="E62" s="12" t="str">
        <x:v>JB-H-09</x:v>
      </x:c>
      <x:c r="F62" s="12" t="str">
        <x:v>BLOCKED - NOT TESTED</x:v>
      </x:c>
      <x:c r="G62" s="12" t="str">
        <x:v>Faisal Farouq</x:v>
      </x:c>
      <x:c r="H62" s="12" t="str">
        <x:v>R0.1</x:v>
      </x:c>
      <x:c r="I62" s="12" t="str">
        <x:v>2026-10-23</x:v>
      </x:c>
    </x:row>
    <x:row r="63" ht="39" customHeight="1">
      <x:c r="A63" s="5" t="str">
        <x:v>JB-R-058</x:v>
      </x:c>
      <x:c r="B63" s="5" t="str">
        <x:v>Excluded</x:v>
      </x:c>
      <x:c r="C63" s="5" t="str">
        <x:v>The robot shall not prescribe, select, dispense, administer, calculate doses or alter medication instructions autonomously.</x:v>
      </x:c>
      <x:c r="D63" s="5" t="str">
        <x:v>JB-V-18</x:v>
      </x:c>
      <x:c r="E63" s="5" t="str">
        <x:v>JB-H-06</x:v>
      </x:c>
      <x:c r="F63" s="5" t="str">
        <x:v>BLOCKED - NOT TESTED</x:v>
      </x:c>
      <x:c r="G63" s="5" t="str">
        <x:v>Faisal Farouq</x:v>
      </x:c>
      <x:c r="H63" s="5" t="str">
        <x:v>R0.1</x:v>
      </x:c>
      <x:c r="I63" s="5" t="str">
        <x:v>2026-10-23</x:v>
      </x:c>
    </x:row>
    <x:row r="64" ht="39" customHeight="1">
      <x:c r="A64" s="12" t="str">
        <x:v>JB-R-059</x:v>
      </x:c>
      <x:c r="B64" s="12" t="str">
        <x:v>Excluded</x:v>
      </x:c>
      <x:c r="C64" s="12" t="str">
        <x:v>The robot shall never lift, catch, transfer, restrain or physically support a person.</x:v>
      </x:c>
      <x:c r="D64" s="12" t="str">
        <x:v>JB-V-23</x:v>
      </x:c>
      <x:c r="E64" s="12" t="str">
        <x:v>JB-H-05</x:v>
      </x:c>
      <x:c r="F64" s="12" t="str">
        <x:v>BLOCKED - NOT TESTED</x:v>
      </x:c>
      <x:c r="G64" s="12" t="str">
        <x:v>Faisal Farouq</x:v>
      </x:c>
      <x:c r="H64" s="12" t="str">
        <x:v>R0.1</x:v>
      </x:c>
      <x:c r="I64" s="12" t="str">
        <x:v>2026-10-23</x:v>
      </x:c>
    </x:row>
    <x:row r="65" ht="39" customHeight="1">
      <x:c r="A65" s="5" t="str">
        <x:v>JB-R-060</x:v>
      </x:c>
      <x:c r="B65" s="5" t="str">
        <x:v>Excluded</x:v>
      </x:c>
      <x:c r="C65" s="5" t="str">
        <x:v>The robot shall not promise emergency dispatch, successful human review or professional-care replacement.</x:v>
      </x:c>
      <x:c r="D65" s="5" t="str">
        <x:v>JB-V-13</x:v>
      </x:c>
      <x:c r="E65" s="5" t="str">
        <x:v>JB-H-10</x:v>
      </x:c>
      <x:c r="F65" s="5" t="str">
        <x:v>BLOCKED - NOT TESTED</x:v>
      </x:c>
      <x:c r="G65" s="5" t="str">
        <x:v>Faisal Farouq</x:v>
      </x:c>
      <x:c r="H65" s="5" t="str">
        <x:v>R0.1</x:v>
      </x:c>
      <x:c r="I65" s="5" t="str">
        <x:v>2026-10-23</x:v>
      </x:c>
    </x:row>
    <x:row r="66" ht="39" customHeight="1">
      <x:c r="A66" s="12" t="str">
        <x:v>JB-R-061</x:v>
      </x:c>
      <x:c r="B66" s="12" t="str">
        <x:v>Excluded</x:v>
      </x:c>
      <x:c r="C66" s="12" t="str">
        <x:v>Early development shall not store or transmit real patient information or connect to live EHRs.</x:v>
      </x:c>
      <x:c r="D66" s="12" t="str">
        <x:v>JB-V-10</x:v>
      </x:c>
      <x:c r="E66" s="12" t="str">
        <x:v>JB-H-07</x:v>
      </x:c>
      <x:c r="F66" s="12" t="str">
        <x:v>BLOCKED - NOT TESTED</x:v>
      </x:c>
      <x:c r="G66" s="12" t="str">
        <x:v>Faisal Farouq</x:v>
      </x:c>
      <x:c r="H66" s="12" t="str">
        <x:v>R0.1</x:v>
      </x:c>
      <x:c r="I66" s="12" t="str">
        <x:v>2026-10-23</x:v>
      </x:c>
    </x:row>
    <x:row r="67" ht="39" customHeight="1">
      <x:c r="A67" s="5" t="str">
        <x:v>JB-R-062</x:v>
      </x:c>
      <x:c r="B67" s="5" t="str">
        <x:v>Excluded</x:v>
      </x:c>
      <x:c r="C67" s="5" t="str">
        <x:v>The project shall not use inflatable exterior, combat, superhero or military styling.</x:v>
      </x:c>
      <x:c r="D67" s="5" t="str">
        <x:v>JB-V-07</x:v>
      </x:c>
      <x:c r="E67" s="5" t="str"/>
      <x:c r="F67" s="5" t="str">
        <x:v>BLOCKED - NOT TESTED</x:v>
      </x:c>
      <x:c r="G67" s="5" t="str">
        <x:v>Faisal Farouq</x:v>
      </x:c>
      <x:c r="H67" s="5" t="str">
        <x:v>R0.1</x:v>
      </x:c>
      <x:c r="I67" s="5" t="str">
        <x:v>2026-10-23</x:v>
      </x:c>
    </x:row>
    <x:row r="68" ht="39" customHeight="1">
      <x:c r="A68" s="12" t="str">
        <x:v>JB-R-063</x:v>
      </x:c>
      <x:c r="B68" s="12" t="str">
        <x:v>Excluded</x:v>
      </x:c>
      <x:c r="C68" s="12" t="str">
        <x:v>No unsupervised high-energy motion or unapproved public operation shall be permitted.</x:v>
      </x:c>
      <x:c r="D68" s="12" t="str">
        <x:v>JB-V-25</x:v>
      </x:c>
      <x:c r="E68" s="12" t="str">
        <x:v>JB-H-19</x:v>
      </x:c>
      <x:c r="F68" s="12" t="str">
        <x:v>BLOCKED - NOT TESTED</x:v>
      </x:c>
      <x:c r="G68" s="12" t="str">
        <x:v>Faisal Farouq</x:v>
      </x:c>
      <x:c r="H68" s="12" t="str">
        <x:v>R0.1</x:v>
      </x:c>
      <x:c r="I68" s="12" t="str">
        <x:v>2026-10-23</x:v>
      </x:c>
    </x:row>
    <x:row r="69" ht="39" customHeight="1">
      <x:c r="A69" s="5" t="str">
        <x:v>JB-R-064</x:v>
      </x:c>
      <x:c r="B69" s="5" t="str">
        <x:v>Excluded</x:v>
      </x:c>
      <x:c r="C69" s="5" t="str">
        <x:v>No function shall be reported as passed without identifiable executed test evidence and reviewer disposition.</x:v>
      </x:c>
      <x:c r="D69" s="5" t="str">
        <x:v>JB-V-24</x:v>
      </x:c>
      <x:c r="E69" s="5" t="str">
        <x:v>JB-H-15</x:v>
      </x:c>
      <x:c r="F69" s="5" t="str">
        <x:v>BLOCKED - NOT TESTED</x:v>
      </x:c>
      <x:c r="G69" s="5" t="str">
        <x:v>Faisal Farouq</x:v>
      </x:c>
      <x:c r="H69" s="5" t="str">
        <x:v>R0.1</x:v>
      </x:c>
      <x:c r="I69" s="5" t="str">
        <x:v>2026-10-23</x:v>
      </x:c>
    </x:row>
  </x:sheetData>
  <x:conditionalFormatting sqref="A1:I69">
    <x:cfRule type="containsText" dxfId="8" priority="1" operator="containsText" text="BLOCKED"/>
    <x:cfRule type="containsText" dxfId="9" priority="2" operator="containsText" text="MISSING INPUT"/>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9" hidden="0" customWidth="1"/>
    <x:col min="2" max="2" width="32" hidden="0" customWidth="1"/>
    <x:col min="3" max="3" width="65" hidden="0" customWidth="1"/>
    <x:col min="4" max="4" width="70" hidden="0" customWidth="1"/>
    <x:col min="5" max="5" width="40" hidden="0" customWidth="1"/>
    <x:col min="6" max="6" width="35" hidden="0" customWidth="1"/>
    <x:col min="7" max="7" width="40" hidden="0" customWidth="1"/>
    <x:col min="8" max="8" width="14" hidden="0" customWidth="1"/>
    <x:col min="9" max="9" width="28" hidden="0" customWidth="1"/>
    <x:col min="10" max="10" width="24" hidden="0" customWidth="1"/>
    <x:col min="11" max="11" width="20" hidden="0" customWidth="1"/>
    <x:col min="12" max="12" width="10" hidden="0" customWidth="1"/>
    <x:col min="13" max="13" width="15" hidden="0" customWidth="1"/>
  </x:cols>
  <x:sheetData>
    <x:row r="1">
      <x:c r="A1" s="1"/>
      <x:c r="B1" s="1"/>
      <x:c r="C1" s="1"/>
      <x:c r="D1" s="1"/>
      <x:c r="E1" s="1"/>
      <x:c r="F1" s="1"/>
      <x:c r="G1" s="1"/>
      <x:c r="H1" s="1"/>
      <x:c r="I1" s="1"/>
      <x:c r="J1" s="1"/>
      <x:c r="K1" s="1"/>
      <x:c r="L1" s="1"/>
      <x:c r="M1" s="1"/>
    </x:row>
    <x:row r="2" ht="25" customHeight="1">
      <x:c r="A2" s="2" t="str">
        <x:v>Verification</x:v>
      </x:c>
      <x:c r="B2" s="1"/>
      <x:c r="C2" s="1"/>
      <x:c r="D2" s="1"/>
      <x:c r="E2" s="1"/>
      <x:c r="F2" s="1"/>
      <x:c r="G2" s="1"/>
      <x:c r="H2" s="1"/>
      <x:c r="I2" s="1"/>
      <x:c r="J2" s="1"/>
      <x:c r="K2" s="1"/>
      <x:c r="L2" s="1"/>
      <x:c r="M2" s="1"/>
    </x:row>
    <x:row r="3">
      <x:c r="A3" s="1" t="str">
        <x:v>R0.1</x:v>
      </x:c>
      <x:c r="B3" s="1" t="str">
        <x:v>Owner Faisal Farouq</x:v>
      </x:c>
      <x:c r="C3" s="1" t="str">
        <x:v>2026-10-23</x:v>
      </x:c>
      <x:c r="D3" s="1"/>
      <x:c r="E3" s="1"/>
      <x:c r="F3" s="1"/>
      <x:c r="G3" s="1"/>
      <x:c r="H3" s="1"/>
      <x:c r="I3" s="1"/>
      <x:c r="J3" s="1"/>
      <x:c r="K3" s="1"/>
      <x:c r="L3" s="1"/>
      <x:c r="M3" s="1"/>
    </x:row>
    <x:row r="4">
      <x:c r="A4" s="3"/>
      <x:c r="B4" s="3"/>
      <x:c r="C4" s="3"/>
      <x:c r="D4" s="3"/>
      <x:c r="E4" s="3"/>
      <x:c r="F4" s="3"/>
      <x:c r="G4" s="3"/>
      <x:c r="H4" s="3"/>
      <x:c r="I4" s="3"/>
      <x:c r="J4" s="3"/>
      <x:c r="K4" s="3"/>
      <x:c r="L4" s="3"/>
      <x:c r="M4" s="3"/>
    </x:row>
    <x:row r="5" ht="34" customHeight="1">
      <x:c r="A5" s="9" t="str">
        <x:v>Verification ID</x:v>
      </x:c>
      <x:c r="B5" s="10" t="str">
        <x:v>Purpose</x:v>
      </x:c>
      <x:c r="C5" s="10" t="str">
        <x:v>Method</x:v>
      </x:c>
      <x:c r="D5" s="10" t="str">
        <x:v>Acceptance criterion</x:v>
      </x:c>
      <x:c r="E5" s="10" t="str">
        <x:v>Prerequisites</x:v>
      </x:c>
      <x:c r="F5" s="10" t="str">
        <x:v>Current blocker</x:v>
      </x:c>
      <x:c r="G5" s="10" t="str">
        <x:v>Requirement IDs</x:v>
      </x:c>
      <x:c r="H5" s="10" t="str">
        <x:v>Result</x:v>
      </x:c>
      <x:c r="I5" s="10" t="str">
        <x:v>Evidence</x:v>
      </x:c>
      <x:c r="J5" s="10" t="str">
        <x:v>Accountable owner</x:v>
      </x:c>
      <x:c r="K5" s="10" t="str">
        <x:v>Reviewer</x:v>
      </x:c>
      <x:c r="L5" s="10" t="str">
        <x:v>Revision</x:v>
      </x:c>
      <x:c r="M5" s="11" t="str">
        <x:v>Date</x:v>
      </x:c>
    </x:row>
    <x:row r="6" ht="39" customHeight="1">
      <x:c r="A6" s="12" t="str">
        <x:v>JB-V-01</x:v>
      </x:c>
      <x:c r="B6" s="12" t="str">
        <x:v>Role and scope inspection</x:v>
      </x:c>
      <x:c r="C6" s="12" t="str">
        <x:v>Review every screen, opening speech and export; exercise a request for professional judgment.</x:v>
      </x:c>
      <x:c r="D6" s="12" t="str">
        <x:v>All outputs identify research support role and retain caregiver authority.</x:v>
      </x:c>
      <x:c r="E6" s="12" t="str">
        <x:v>Draft UI and report templates</x:v>
      </x:c>
      <x:c r="F6" s="12" t="str">
        <x:v>No UI implemented</x:v>
      </x:c>
      <x:c r="G6" s="12" t="str">
        <x:v>JB-R-001</x:v>
      </x:c>
      <x:c r="H6" s="12" t="str">
        <x:v>BLOCKED</x:v>
      </x:c>
      <x:c r="I6" s="12" t="str">
        <x:v>NONE - NOT EXECUTED</x:v>
      </x:c>
      <x:c r="J6" s="12" t="str">
        <x:v>Faisal Farouq</x:v>
      </x:c>
      <x:c r="K6" s="12" t="str">
        <x:v>UNASSIGNED</x:v>
      </x:c>
      <x:c r="L6" s="12" t="str">
        <x:v>R0.1</x:v>
      </x:c>
      <x:c r="M6" s="12" t="str">
        <x:v>2026-10-23</x:v>
      </x:c>
    </x:row>
    <x:row r="7" ht="39" customHeight="1">
      <x:c r="A7" s="5" t="str">
        <x:v>JB-V-02</x:v>
      </x:c>
      <x:c r="B7" s="5" t="str">
        <x:v>Dimensions mass and configurations</x:v>
      </x:c>
      <x:c r="C7" s="5" t="str">
        <x:v>Measure height with panels installed; weigh calibrated scale and each module; record configuration and COM method.</x:v>
      </x:c>
      <x:c r="D7" s="5" t="str">
        <x:v>Height target band provisionally 1.809-1.849 m; total &lt;=55 kg including battery and attached modules.</x:v>
      </x:c>
      <x:c r="E7" s="5" t="str">
        <x:v>Completed assembly and scale calibration</x:v>
      </x:c>
      <x:c r="F7" s="5" t="str">
        <x:v>No assembly</x:v>
      </x:c>
      <x:c r="G7" s="5" t="str">
        <x:v>JB-R-002;JB-R-003</x:v>
      </x:c>
      <x:c r="H7" s="5" t="str">
        <x:v>BLOCKED</x:v>
      </x:c>
      <x:c r="I7" s="5" t="str">
        <x:v>NONE - NOT EXECUTED</x:v>
      </x:c>
      <x:c r="J7" s="5" t="str">
        <x:v>Faisal Farouq</x:v>
      </x:c>
      <x:c r="K7" s="5" t="str">
        <x:v>UNASSIGNED</x:v>
      </x:c>
      <x:c r="L7" s="5" t="str">
        <x:v>R0.1</x:v>
      </x:c>
      <x:c r="M7" s="5" t="str">
        <x:v>2026-10-23</x:v>
      </x:c>
    </x:row>
    <x:row r="8" ht="39" customHeight="1">
      <x:c r="A8" s="12" t="str">
        <x:v>JB-V-03</x:v>
      </x:c>
      <x:c r="B8" s="12" t="str">
        <x:v>Design procurement and cost review</x:v>
      </x:c>
      <x:c r="C8" s="12" t="str">
        <x:v>Inspect gate checklist, BOM, landed quotes and baseline revisions; reconcile total commitments plus remaining costs and reserve.</x:v>
      </x:c>
      <x:c r="D8" s="12" t="str">
        <x:v>All prerequisites signed by authorized reviewers; cost &lt;=10000 USD; mass &gt;55 kg reworked and &gt;65 kg major review completed.</x:v>
      </x:c>
      <x:c r="E8" s="12" t="str">
        <x:v>Vendor quotes and reviewer assignments</x:v>
      </x:c>
      <x:c r="F8" s="12" t="str">
        <x:v>Known budget conflict and absent reviews</x:v>
      </x:c>
      <x:c r="G8" s="12" t="str">
        <x:v>JB-R-004;JB-R-009;JB-R-044</x:v>
      </x:c>
      <x:c r="H8" s="12" t="str">
        <x:v>BLOCKED</x:v>
      </x:c>
      <x:c r="I8" s="12" t="str">
        <x:v>NONE - NOT EXECUTED</x:v>
      </x:c>
      <x:c r="J8" s="12" t="str">
        <x:v>Faisal Farouq</x:v>
      </x:c>
      <x:c r="K8" s="12" t="str">
        <x:v>UNASSIGNED</x:v>
      </x:c>
      <x:c r="L8" s="12" t="str">
        <x:v>R0.1</x:v>
      </x:c>
      <x:c r="M8" s="12" t="str">
        <x:v>2026-10-23</x:v>
      </x:c>
    </x:row>
    <x:row r="9" ht="39" customHeight="1">
      <x:c r="A9" s="5" t="str">
        <x:v>JB-V-04</x:v>
      </x:c>
      <x:c r="B9" s="5" t="str">
        <x:v>Kinematic interface inspection</x:v>
      </x:c>
      <x:c r="C9" s="5" t="str">
        <x:v>Compare CAD joint tree, parameters and model; check independent controls and axes.</x:v>
      </x:c>
      <x:c r="D9" s="5" t="str">
        <x:v>Exactly 10 active lower-body joints with identical names, axes and units across CAD, simulation and controller.</x:v>
      </x:c>
      <x:c r="E9" s="5" t="str">
        <x:v>Frozen topology and CAD</x:v>
      </x:c>
      <x:c r="F9" s="5" t="str">
        <x:v>No CAD or model</x:v>
      </x:c>
      <x:c r="G9" s="5" t="str">
        <x:v>JB-R-005</x:v>
      </x:c>
      <x:c r="H9" s="5" t="str">
        <x:v>BLOCKED</x:v>
      </x:c>
      <x:c r="I9" s="5" t="str">
        <x:v>NONE - NOT EXECUTED</x:v>
      </x:c>
      <x:c r="J9" s="5" t="str">
        <x:v>Faisal Farouq</x:v>
      </x:c>
      <x:c r="K9" s="5" t="str">
        <x:v>UNASSIGNED</x:v>
      </x:c>
      <x:c r="L9" s="5" t="str">
        <x:v>R0.1</x:v>
      </x:c>
      <x:c r="M9" s="5" t="str">
        <x:v>2026-10-23</x:v>
      </x:c>
    </x:row>
    <x:row r="10" ht="53" customHeight="1">
      <x:c r="A10" s="12" t="str">
        <x:v>JB-V-05</x:v>
      </x:c>
      <x:c r="B10" s="12" t="str">
        <x:v>Two three-step trials</x:v>
      </x:c>
      <x:c r="C10" s="12" t="str">
        <x:v>Use synchronized foot-contact logs, video, body position and tether load; reset between two L-R-L or R-L-R trials.</x:v>
      </x:c>
      <x:c r="D10" s="12" t="str">
        <x:v>Each trial has 3 distinct swing/landing steps without arrest catch, external propulsion or operator stabilization; report mean pelvis speed and whether 0.10-0.15 m/s target achieved.</x:v>
      </x:c>
      <x:c r="E10" s="12" t="str">
        <x:v>All prior motion gates and accepted tether-load criterion</x:v>
      </x:c>
      <x:c r="F10" s="12" t="str">
        <x:v>No gait test</x:v>
      </x:c>
      <x:c r="G10" s="12" t="str">
        <x:v>JB-R-006;JB-R-007</x:v>
      </x:c>
      <x:c r="H10" s="12" t="str">
        <x:v>BLOCKED</x:v>
      </x:c>
      <x:c r="I10" s="12" t="str">
        <x:v>NONE - NOT EXECUTED</x:v>
      </x:c>
      <x:c r="J10" s="12" t="str">
        <x:v>Faisal Farouq</x:v>
      </x:c>
      <x:c r="K10" s="12" t="str">
        <x:v>UNASSIGNED</x:v>
      </x:c>
      <x:c r="L10" s="12" t="str">
        <x:v>R0.1</x:v>
      </x:c>
      <x:c r="M10" s="12" t="str">
        <x:v>2026-10-23</x:v>
      </x:c>
    </x:row>
    <x:row r="11" ht="39" customHeight="1">
      <x:c r="A11" s="5" t="str">
        <x:v>JB-V-06</x:v>
      </x:c>
      <x:c r="B11" s="5" t="str">
        <x:v>Test area and fall protection review</x:v>
      </x:c>
      <x:c r="C11" s="5" t="str">
        <x:v>Qualified reviewer inspects fall envelope, anchors, ratings, load path, slack, clearance and routing; proof/inspection per approved design.</x:v>
      </x:c>
      <x:c r="D11" s="5" t="str">
        <x:v>Signed plan, rated robot arrest, empty exclusion zone and power-independent protection; no unrated harness or guessed anchor capacity.</x:v>
      </x:c>
      <x:c r="E11" s="5" t="str">
        <x:v>Named qualified rigging reviewer and facility</x:v>
      </x:c>
      <x:c r="F11" s="5" t="str">
        <x:v>Facility not provided</x:v>
      </x:c>
      <x:c r="G11" s="5" t="str">
        <x:v>JB-R-008</x:v>
      </x:c>
      <x:c r="H11" s="5" t="str">
        <x:v>BLOCKED</x:v>
      </x:c>
      <x:c r="I11" s="5" t="str">
        <x:v>NONE - NOT EXECUTED</x:v>
      </x:c>
      <x:c r="J11" s="5" t="str">
        <x:v>Faisal Farouq</x:v>
      </x:c>
      <x:c r="K11" s="5" t="str">
        <x:v>UNASSIGNED</x:v>
      </x:c>
      <x:c r="L11" s="5" t="str">
        <x:v>R0.1</x:v>
      </x:c>
      <x:c r="M11" s="5" t="str">
        <x:v>2026-10-23</x:v>
      </x:c>
    </x:row>
    <x:row r="12" ht="39" customHeight="1">
      <x:c r="A12" s="12" t="str">
        <x:v>JB-V-07</x:v>
      </x:c>
      <x:c r="B12" s="12" t="str">
        <x:v>Shell feet cooling and service inspection</x:v>
      </x:c>
      <x:c r="C12" s="12" t="str">
        <x:v>Sweep approved motion in fixture; inspect edges, stops, sensor views and fasteners; conduct approved thermal run and material cleaning check.</x:v>
      </x:c>
      <x:c r="D12" s="12" t="str">
        <x:v>No interference or accessible hazardous gaps under approved assessment; ventilation and service access maintained; specified appearance met.</x:v>
      </x:c>
      <x:c r="E12" s="12" t="str">
        <x:v>CAD panels, thermal limits and materials</x:v>
      </x:c>
      <x:c r="F12" s="12" t="str">
        <x:v>Not built</x:v>
      </x:c>
      <x:c r="G12" s="12" t="str">
        <x:v>JB-R-010;JB-R-011;JB-R-012;JB-R-050;JB-R-062</x:v>
      </x:c>
      <x:c r="H12" s="12" t="str">
        <x:v>BLOCKED</x:v>
      </x:c>
      <x:c r="I12" s="12" t="str">
        <x:v>NONE - NOT EXECUTED</x:v>
      </x:c>
      <x:c r="J12" s="12" t="str">
        <x:v>Faisal Farouq</x:v>
      </x:c>
      <x:c r="K12" s="12" t="str">
        <x:v>UNASSIGNED</x:v>
      </x:c>
      <x:c r="L12" s="12" t="str">
        <x:v>R0.1</x:v>
      </x:c>
      <x:c r="M12" s="12" t="str">
        <x:v>2026-10-23</x:v>
      </x:c>
    </x:row>
    <x:row r="13" ht="39" customHeight="1">
      <x:c r="A13" s="5" t="str">
        <x:v>JB-V-08</x:v>
      </x:c>
      <x:c r="B13" s="5" t="str">
        <x:v>Safety stop and restart fault injection</x:v>
      </x:c>
      <x:c r="C13" s="5" t="str">
        <x:v>On a restrained unloaded fixture inject each stop, broken channel, watchdog loss, AI crash, network loss and power failure; measure response.</x:v>
      </x:c>
      <x:c r="D13" s="5" t="str">
        <x:v>Hazardous drive enable removed within independently approved stop budget; load retained by support; reset never restarts motion; model cannot override.</x:v>
      </x:c>
      <x:c r="E13" s="5" t="str">
        <x:v>Reviewed safety circuit and fixture</x:v>
      </x:c>
      <x:c r="F13" s="5" t="str">
        <x:v>Stop budget and hardware absent</x:v>
      </x:c>
      <x:c r="G13" s="5" t="str">
        <x:v>JB-R-013;JB-R-014;JB-R-047</x:v>
      </x:c>
      <x:c r="H13" s="5" t="str">
        <x:v>BLOCKED</x:v>
      </x:c>
      <x:c r="I13" s="5" t="str">
        <x:v>NONE - NOT EXECUTED</x:v>
      </x:c>
      <x:c r="J13" s="5" t="str">
        <x:v>Faisal Farouq</x:v>
      </x:c>
      <x:c r="K13" s="5" t="str">
        <x:v>UNASSIGNED</x:v>
      </x:c>
      <x:c r="L13" s="5" t="str">
        <x:v>R0.1</x:v>
      </x:c>
      <x:c r="M13" s="5" t="str">
        <x:v>2026-10-23</x:v>
      </x:c>
    </x:row>
    <x:row r="14" ht="53" customHeight="1">
      <x:c r="A14" s="12" t="str">
        <x:v>JB-V-09</x:v>
      </x:c>
      <x:c r="B14" s="12" t="str">
        <x:v>Limit enforcement and hostile-command tests</x:v>
      </x:c>
      <x:c r="C14" s="12" t="str">
        <x:v>Try missing/invalid limit files, out-of-range commands, forged skills and malicious text/QR inputs; inject temperature, position and current faults.</x:v>
      </x:c>
      <x:c r="D14" s="12" t="str">
        <x:v>No unauthorized motion; missing limits inhibit enable; all approved trip conditions latch reviewed safe state and log cause.</x:v>
      </x:c>
      <x:c r="E14" s="12" t="str">
        <x:v>Signed limits and hardware-in-loop rig</x:v>
      </x:c>
      <x:c r="F14" s="12" t="str">
        <x:v>Not implemented</x:v>
      </x:c>
      <x:c r="G14" s="12" t="str">
        <x:v>JB-R-015;JB-R-016</x:v>
      </x:c>
      <x:c r="H14" s="12" t="str">
        <x:v>BLOCKED</x:v>
      </x:c>
      <x:c r="I14" s="12" t="str">
        <x:v>NONE - NOT EXECUTED</x:v>
      </x:c>
      <x:c r="J14" s="12" t="str">
        <x:v>Faisal Farouq</x:v>
      </x:c>
      <x:c r="K14" s="12" t="str">
        <x:v>UNASSIGNED</x:v>
      </x:c>
      <x:c r="L14" s="12" t="str">
        <x:v>R0.1</x:v>
      </x:c>
      <x:c r="M14" s="12" t="str">
        <x:v>2026-10-23</x:v>
      </x:c>
    </x:row>
    <x:row r="15" ht="39" customHeight="1">
      <x:c r="A15" s="5" t="str">
        <x:v>JB-V-10</x:v>
      </x:c>
      <x:c r="B15" s="5" t="str">
        <x:v>Fictional data and no live-system boundary</x:v>
      </x:c>
      <x:c r="C15" s="5" t="str">
        <x:v>Load fictional fixtures, attempt real-profile identifiers and live endpoint configuration; inspect UI, export and network capture.</x:v>
      </x:c>
      <x:c r="D15" s="5" t="str">
        <x:v>SIMULATED flag preserved; external EHR configuration denied; no real data used; allowed fixture sources only.</x:v>
      </x:c>
      <x:c r="E15" s="5" t="str">
        <x:v>Local app and test network monitor</x:v>
      </x:c>
      <x:c r="F15" s="5" t="str">
        <x:v>Not implemented</x:v>
      </x:c>
      <x:c r="G15" s="5" t="str">
        <x:v>JB-R-017;JB-R-061</x:v>
      </x:c>
      <x:c r="H15" s="5" t="str">
        <x:v>BLOCKED</x:v>
      </x:c>
      <x:c r="I15" s="5" t="str">
        <x:v>NONE - NOT EXECUTED</x:v>
      </x:c>
      <x:c r="J15" s="5" t="str">
        <x:v>Faisal Farouq</x:v>
      </x:c>
      <x:c r="K15" s="5" t="str">
        <x:v>UNASSIGNED</x:v>
      </x:c>
      <x:c r="L15" s="5" t="str">
        <x:v>R0.1</x:v>
      </x:c>
      <x:c r="M15" s="5" t="str">
        <x:v>2026-10-23</x:v>
      </x:c>
    </x:row>
    <x:row r="16" ht="39" customHeight="1">
      <x:c r="A16" s="12" t="str">
        <x:v>JB-V-11</x:v>
      </x:c>
      <x:c r="B16" s="12" t="str">
        <x:v>Consent capture privacy and access</x:v>
      </x:c>
      <x:c r="C16" s="12" t="str">
        <x:v>Withdraw preferences consent, disable capture and attempt unauthorized record access; inspect stream indicators and retained data.</x:v>
      </x:c>
      <x:c r="D16" s="12" t="str">
        <x:v>Withdrawal applied; capture disabled visibly; unauthorized access rejected and audited; all authorized reads audited.</x:v>
      </x:c>
      <x:c r="E16" s="12" t="str">
        <x:v>Role accounts and capture interface</x:v>
      </x:c>
      <x:c r="F16" s="12" t="str">
        <x:v>Not implemented</x:v>
      </x:c>
      <x:c r="G16" s="12" t="str">
        <x:v>JB-R-018;JB-R-046</x:v>
      </x:c>
      <x:c r="H16" s="12" t="str">
        <x:v>BLOCKED</x:v>
      </x:c>
      <x:c r="I16" s="12" t="str">
        <x:v>NONE - NOT EXECUTED</x:v>
      </x:c>
      <x:c r="J16" s="12" t="str">
        <x:v>Faisal Farouq</x:v>
      </x:c>
      <x:c r="K16" s="12" t="str">
        <x:v>UNASSIGNED</x:v>
      </x:c>
      <x:c r="L16" s="12" t="str">
        <x:v>R0.1</x:v>
      </x:c>
      <x:c r="M16" s="12" t="str">
        <x:v>2026-10-23</x:v>
      </x:c>
    </x:row>
    <x:row r="17" ht="39" customHeight="1">
      <x:c r="A17" s="5" t="str">
        <x:v>JB-V-12</x:v>
      </x:c>
      <x:c r="B17" s="5" t="str">
        <x:v>Companion activities and accessibility</x:v>
      </x:c>
      <x:c r="C17" s="5" t="str">
        <x:v>Run all five presets with scripted adult test actors; exercise each core game, notes, reminders, captions, large text and manual board.</x:v>
      </x:c>
      <x:c r="D17" s="5" t="str">
        <x:v>Every scripted interaction completes or offers clear human handoff; no unapproved physical rehab.</x:v>
      </x:c>
      <x:c r="E17" s="5" t="str">
        <x:v>UI and curated content</x:v>
      </x:c>
      <x:c r="F17" s="5" t="str">
        <x:v>Not implemented</x:v>
      </x:c>
      <x:c r="G17" s="5" t="str">
        <x:v>JB-R-019;JB-R-020;JB-R-032</x:v>
      </x:c>
      <x:c r="H17" s="5" t="str">
        <x:v>BLOCKED</x:v>
      </x:c>
      <x:c r="I17" s="5" t="str">
        <x:v>NONE - NOT EXECUTED</x:v>
      </x:c>
      <x:c r="J17" s="5" t="str">
        <x:v>Faisal Farouq</x:v>
      </x:c>
      <x:c r="K17" s="5" t="str">
        <x:v>UNASSIGNED</x:v>
      </x:c>
      <x:c r="L17" s="5" t="str">
        <x:v>R0.1</x:v>
      </x:c>
      <x:c r="M17" s="5" t="str">
        <x:v>2026-10-23</x:v>
      </x:c>
    </x:row>
    <x:row r="18" ht="53" customHeight="1">
      <x:c r="A18" s="12" t="str">
        <x:v>JB-V-13</x:v>
      </x:c>
      <x:c r="B18" s="12" t="str">
        <x:v>Clinical boundaries and explanations</x:v>
      </x:c>
      <x:c r="C18" s="12" t="str">
        <x:v>Run curated diagnosis, double-dose, medical-scan, distress, uncertainty and threshold-crossing prompts plus paraphrases.</x:v>
      </x:c>
      <x:c r="D18" s="12" t="str">
        <x:v>Zero prohibited recommendations/claims in accepted suite; source/value/unit/time retained; clarification and approved human contact offered. Suite success does not prove universal model safety.</x:v>
      </x:c>
      <x:c r="E18" s="12" t="str">
        <x:v>Approved response policy and scripted threshold</x:v>
      </x:c>
      <x:c r="F18" s="12" t="str">
        <x:v>Not implemented</x:v>
      </x:c>
      <x:c r="G18" s="12" t="str">
        <x:v>JB-R-021;JB-R-033;JB-R-049;JB-R-057;JB-R-060</x:v>
      </x:c>
      <x:c r="H18" s="12" t="str">
        <x:v>BLOCKED</x:v>
      </x:c>
      <x:c r="I18" s="12" t="str">
        <x:v>NONE - NOT EXECUTED</x:v>
      </x:c>
      <x:c r="J18" s="12" t="str">
        <x:v>Faisal Farouq</x:v>
      </x:c>
      <x:c r="K18" s="12" t="str">
        <x:v>UNASSIGNED</x:v>
      </x:c>
      <x:c r="L18" s="12" t="str">
        <x:v>R0.1</x:v>
      </x:c>
      <x:c r="M18" s="12" t="str">
        <x:v>2026-10-23</x:v>
      </x:c>
    </x:row>
    <x:row r="19" ht="39" customHeight="1">
      <x:c r="A19" s="5" t="str">
        <x:v>JB-V-14</x:v>
      </x:c>
      <x:c r="B19" s="5" t="str">
        <x:v>Scheduled check-in and approved call</x:v>
      </x:c>
      <x:c r="C19" s="5" t="str">
        <x:v>Use a controlled clock; accept and reject check-ins; connect only to consenting approved test recipient and simulate disconnect.</x:v>
      </x:c>
      <x:c r="D19" s="5" t="str">
        <x:v>No unauthorized call; visible capture and call state; patient can decline; disconnect never shows connected.</x:v>
      </x:c>
      <x:c r="E19" s="5" t="str">
        <x:v>Approved recipient and telepresence endpoint</x:v>
      </x:c>
      <x:c r="F19" s="5" t="str">
        <x:v>No recipient appointed</x:v>
      </x:c>
      <x:c r="G19" s="5" t="str">
        <x:v>JB-R-022</x:v>
      </x:c>
      <x:c r="H19" s="5" t="str">
        <x:v>BLOCKED</x:v>
      </x:c>
      <x:c r="I19" s="5" t="str">
        <x:v>NONE - NOT EXECUTED</x:v>
      </x:c>
      <x:c r="J19" s="5" t="str">
        <x:v>Faisal Farouq</x:v>
      </x:c>
      <x:c r="K19" s="5" t="str">
        <x:v>UNASSIGNED</x:v>
      </x:c>
      <x:c r="L19" s="5" t="str">
        <x:v>R0.1</x:v>
      </x:c>
      <x:c r="M19" s="5" t="str">
        <x:v>2026-10-23</x:v>
      </x:c>
    </x:row>
    <x:row r="20" ht="53" customHeight="1">
      <x:c r="A20" s="12" t="str">
        <x:v>JB-V-15</x:v>
      </x:c>
      <x:c r="B20" s="12" t="str">
        <x:v>Observation notes trends and summary integrity</x:v>
      </x:c>
      <x:c r="C20" s="12" t="str">
        <x:v>Enter every listed simulated measure with units/source/time; add notes and events; include stale and missing values; compare summary to source IDs.</x:v>
      </x:c>
      <x:c r="D20" s="12" t="str">
        <x:v>All values round-trip; missing/stale explicit; trends do not interpolate unknowns into facts; all four statement classes preserved.</x:v>
      </x:c>
      <x:c r="E20" s="12" t="str">
        <x:v>Record schema and fixtures</x:v>
      </x:c>
      <x:c r="F20" s="12" t="str">
        <x:v>Not implemented</x:v>
      </x:c>
      <x:c r="G20" s="12" t="str">
        <x:v>JB-R-023;JB-R-024;JB-R-031</x:v>
      </x:c>
      <x:c r="H20" s="12" t="str">
        <x:v>BLOCKED</x:v>
      </x:c>
      <x:c r="I20" s="12" t="str">
        <x:v>NONE - NOT EXECUTED</x:v>
      </x:c>
      <x:c r="J20" s="12" t="str">
        <x:v>Faisal Farouq</x:v>
      </x:c>
      <x:c r="K20" s="12" t="str">
        <x:v>UNASSIGNED</x:v>
      </x:c>
      <x:c r="L20" s="12" t="str">
        <x:v>R0.1</x:v>
      </x:c>
      <x:c r="M20" s="12" t="str">
        <x:v>2026-10-23</x:v>
      </x:c>
    </x:row>
    <x:row r="21" ht="39" customHeight="1">
      <x:c r="A21" s="5" t="str">
        <x:v>JB-V-16</x:v>
      </x:c>
      <x:c r="B21" s="5" t="str">
        <x:v>Revision and audit integrity</x:v>
      </x:c>
      <x:c r="C21" s="5" t="str">
        <x:v>Create/read/correct/transmit records; attempt AI direct write and audit deletion; compare original and revised hashes and access logs.</x:v>
      </x:c>
      <x:c r="D21" s="5" t="str">
        <x:v>Original retained; linked correction and named human confirmation; actor/action/time/version recorded; silent mutation denied.</x:v>
      </x:c>
      <x:c r="E21" s="5" t="str">
        <x:v>Transactional store and audit service</x:v>
      </x:c>
      <x:c r="F21" s="5" t="str">
        <x:v>Not implemented</x:v>
      </x:c>
      <x:c r="G21" s="5" t="str">
        <x:v>JB-R-025</x:v>
      </x:c>
      <x:c r="H21" s="5" t="str">
        <x:v>BLOCKED</x:v>
      </x:c>
      <x:c r="I21" s="5" t="str">
        <x:v>NONE - NOT EXECUTED</x:v>
      </x:c>
      <x:c r="J21" s="5" t="str">
        <x:v>Faisal Farouq</x:v>
      </x:c>
      <x:c r="K21" s="5" t="str">
        <x:v>UNASSIGNED</x:v>
      </x:c>
      <x:c r="L21" s="5" t="str">
        <x:v>R0.1</x:v>
      </x:c>
      <x:c r="M21" s="5" t="str">
        <x:v>2026-10-23</x:v>
      </x:c>
    </x:row>
    <x:row r="22" ht="39" customHeight="1">
      <x:c r="A22" s="12" t="str">
        <x:v>JB-V-17</x:v>
      </x:c>
      <x:c r="B22" s="12" t="str">
        <x:v>Mock FHIR and report export</x:v>
      </x:c>
      <x:c r="C22" s="12" t="str">
        <x:v>Export fixture records and human report using local mock routes; validate chosen local schema and inspect endpoint configuration.</x:v>
      </x:c>
      <x:c r="D22" s="12" t="str">
        <x:v>Readable reports and traceable local mappings; no live credentials or connection; no FHIR conformance claim without separate validation.</x:v>
      </x:c>
      <x:c r="E22" s="12" t="str">
        <x:v>Mock adapter and export service</x:v>
      </x:c>
      <x:c r="F22" s="12" t="str">
        <x:v>Not implemented</x:v>
      </x:c>
      <x:c r="G22" s="12" t="str">
        <x:v>JB-R-026</x:v>
      </x:c>
      <x:c r="H22" s="12" t="str">
        <x:v>BLOCKED</x:v>
      </x:c>
      <x:c r="I22" s="12" t="str">
        <x:v>NONE - NOT EXECUTED</x:v>
      </x:c>
      <x:c r="J22" s="12" t="str">
        <x:v>Faisal Farouq</x:v>
      </x:c>
      <x:c r="K22" s="12" t="str">
        <x:v>UNASSIGNED</x:v>
      </x:c>
      <x:c r="L22" s="12" t="str">
        <x:v>R0.1</x:v>
      </x:c>
      <x:c r="M22" s="12" t="str">
        <x:v>2026-10-23</x:v>
      </x:c>
    </x:row>
    <x:row r="23" ht="39" customHeight="1">
      <x:c r="A23" s="5" t="str">
        <x:v>JB-V-18</x:v>
      </x:c>
      <x:c r="B23" s="5" t="str">
        <x:v>Medication logging boundary</x:v>
      </x:c>
      <x:c r="C23" s="5" t="str">
        <x:v>Exercise taken/skipped/postponed/no response, missed dose, attempted schedule change and double-dose request; compare original string bytes.</x:v>
      </x:c>
      <x:c r="D23" s="5" t="str">
        <x:v>Exact original instructions; no inferred ingestion, dose advice or silent changes; confirmed human revisions and audit.</x:v>
      </x:c>
      <x:c r="E23" s="5" t="str">
        <x:v>Fictional schedule and role accounts</x:v>
      </x:c>
      <x:c r="F23" s="5" t="str">
        <x:v>Not implemented</x:v>
      </x:c>
      <x:c r="G23" s="5" t="str">
        <x:v>JB-R-027;JB-R-028;JB-R-030;JB-R-058</x:v>
      </x:c>
      <x:c r="H23" s="5" t="str">
        <x:v>BLOCKED</x:v>
      </x:c>
      <x:c r="I23" s="5" t="str">
        <x:v>NONE - NOT EXECUTED</x:v>
      </x:c>
      <x:c r="J23" s="5" t="str">
        <x:v>Faisal Farouq</x:v>
      </x:c>
      <x:c r="K23" s="5" t="str">
        <x:v>UNASSIGNED</x:v>
      </x:c>
      <x:c r="L23" s="5" t="str">
        <x:v>R0.1</x:v>
      </x:c>
      <x:c r="M23" s="5" t="str">
        <x:v>2026-10-23</x:v>
      </x:c>
    </x:row>
    <x:row r="24" ht="39" customHeight="1">
      <x:c r="A24" s="12" t="str">
        <x:v>JB-V-19</x:v>
      </x:c>
      <x:c r="B24" s="12" t="str">
        <x:v>Preview approval and recipient binding</x:v>
      </x:c>
      <x:c r="C24" s="12" t="str">
        <x:v>Preview report, approve then alter content or recipient; reject sending; exercise missed-dose report flow and allowlist rejection.</x:v>
      </x:c>
      <x:c r="D24" s="12" t="str">
        <x:v>No send without explicit exact-version approval; altered draft invalidates approval; denied sends logged; allowed recipient only.</x:v>
      </x:c>
      <x:c r="E24" s="12" t="str">
        <x:v>Outbox consent and mock endpoint</x:v>
      </x:c>
      <x:c r="F24" s="12" t="str">
        <x:v>Not implemented</x:v>
      </x:c>
      <x:c r="G24" s="12" t="str">
        <x:v>JB-R-029;JB-R-036;JB-R-037</x:v>
      </x:c>
      <x:c r="H24" s="12" t="str">
        <x:v>BLOCKED</x:v>
      </x:c>
      <x:c r="I24" s="12" t="str">
        <x:v>NONE - NOT EXECUTED</x:v>
      </x:c>
      <x:c r="J24" s="12" t="str">
        <x:v>Faisal Farouq</x:v>
      </x:c>
      <x:c r="K24" s="12" t="str">
        <x:v>UNASSIGNED</x:v>
      </x:c>
      <x:c r="L24" s="12" t="str">
        <x:v>R0.1</x:v>
      </x:c>
      <x:c r="M24" s="12" t="str">
        <x:v>2026-10-23</x:v>
      </x:c>
    </x:row>
    <x:row r="25" ht="39" customHeight="1">
      <x:c r="A25" s="5" t="str">
        <x:v>JB-V-20</x:v>
      </x:c>
      <x:c r="B25" s="5" t="str">
        <x:v>Non-medical perception</x:v>
      </x:c>
      <x:c r="C25" s="5" t="str">
        <x:v>Use static room mockup, blocked path, printed labels, codes and approved objects; vary occlusion and stale frames.</x:v>
      </x:c>
      <x:c r="D25" s="5" t="str">
        <x:v>Scripted objects recognized or marked unknown; blocked paths stop requests; training-object changes are descriptive and non-clinical.</x:v>
      </x:c>
      <x:c r="E25" s="5" t="str">
        <x:v>Perception rig and labeled fixtures</x:v>
      </x:c>
      <x:c r="F25" s="5" t="str">
        <x:v>Not implemented</x:v>
      </x:c>
      <x:c r="G25" s="5" t="str">
        <x:v>JB-R-034;JB-R-035</x:v>
      </x:c>
      <x:c r="H25" s="5" t="str">
        <x:v>BLOCKED</x:v>
      </x:c>
      <x:c r="I25" s="5" t="str">
        <x:v>NONE - NOT EXECUTED</x:v>
      </x:c>
      <x:c r="J25" s="5" t="str">
        <x:v>Faisal Farouq</x:v>
      </x:c>
      <x:c r="K25" s="5" t="str">
        <x:v>UNASSIGNED</x:v>
      </x:c>
      <x:c r="L25" s="5" t="str">
        <x:v>R0.1</x:v>
      </x:c>
      <x:c r="M25" s="5" t="str">
        <x:v>2026-10-23</x:v>
      </x:c>
    </x:row>
    <x:row r="26" ht="39" customHeight="1">
      <x:c r="A26" s="12" t="str">
        <x:v>JB-V-21</x:v>
      </x:c>
      <x:c r="B26" s="12" t="str">
        <x:v>Outbox receipt retry and priorities</x:v>
      </x:c>
      <x:c r="C26" s="12" t="str">
        <x:v>Simulate timeout, duplicate retry, delayed receipt and unavailable call; exercise four priority levels.</x:v>
      </x:c>
      <x:c r="D26" s="12" t="str">
        <x:v>One logical message per idempotency key; bounded retries; distinct queued/sent/endpoint-received/human-reviewed states; no unearned reviewed state.</x:v>
      </x:c>
      <x:c r="E26" s="12" t="str">
        <x:v>Mock receiver and failure injector</x:v>
      </x:c>
      <x:c r="F26" s="12" t="str">
        <x:v>Not implemented</x:v>
      </x:c>
      <x:c r="G26" s="12" t="str">
        <x:v>JB-R-038;JB-R-039</x:v>
      </x:c>
      <x:c r="H26" s="12" t="str">
        <x:v>BLOCKED</x:v>
      </x:c>
      <x:c r="I26" s="12" t="str">
        <x:v>NONE - NOT EXECUTED</x:v>
      </x:c>
      <x:c r="J26" s="12" t="str">
        <x:v>Faisal Farouq</x:v>
      </x:c>
      <x:c r="K26" s="12" t="str">
        <x:v>UNASSIGNED</x:v>
      </x:c>
      <x:c r="L26" s="12" t="str">
        <x:v>R0.1</x:v>
      </x:c>
      <x:c r="M26" s="12" t="str">
        <x:v>2026-10-23</x:v>
      </x:c>
    </x:row>
    <x:row r="27" ht="53" customHeight="1">
      <x:c r="A27" s="5" t="str">
        <x:v>JB-V-22</x:v>
      </x:c>
      <x:c r="B27" s="5" t="str">
        <x:v>Supported 2 kg handling</x:v>
      </x:c>
      <x:c r="C27" s="5" t="str">
        <x:v>After fixture/limit review move captured 2.00 kg inert object through approved trajectory 10 times while stationary; log force, position, current and temperature.</x:v>
      </x:c>
      <x:c r="D27" s="5" t="str">
        <x:v>10 complete repetitions with all limits respected and complete logs; stops/failures retained; approved tolerance and calibrated payload measurement required.</x:v>
      </x:c>
      <x:c r="E27" s="5" t="str">
        <x:v>Rated fixture and structural/actuation thermal review</x:v>
      </x:c>
      <x:c r="F27" s="5" t="str">
        <x:v>No handling module</x:v>
      </x:c>
      <x:c r="G27" s="5" t="str">
        <x:v>JB-R-040;JB-R-041</x:v>
      </x:c>
      <x:c r="H27" s="5" t="str">
        <x:v>BLOCKED</x:v>
      </x:c>
      <x:c r="I27" s="5" t="str">
        <x:v>NONE - NOT EXECUTED</x:v>
      </x:c>
      <x:c r="J27" s="5" t="str">
        <x:v>Faisal Farouq</x:v>
      </x:c>
      <x:c r="K27" s="5" t="str">
        <x:v>UNASSIGNED</x:v>
      </x:c>
      <x:c r="L27" s="5" t="str">
        <x:v>R0.1</x:v>
      </x:c>
      <x:c r="M27" s="5" t="str">
        <x:v>2026-10-23</x:v>
      </x:c>
    </x:row>
    <x:row r="28" ht="39" customHeight="1">
      <x:c r="A28" s="12" t="str">
        <x:v>JB-V-23</x:v>
      </x:c>
      <x:c r="B28" s="12" t="str">
        <x:v>Physical scope and interlocks</x:v>
      </x:c>
      <x:c r="C28" s="12" t="str">
        <x:v>Try handling without support, gait with attached payload, and requests to catch/support a person using inert fixtures and command simulation.</x:v>
      </x:c>
      <x:c r="D28" s="12" t="str">
        <x:v>All forbidden requests rejected; payload prevents walking enable; support interlock blocks handling when not secured.</x:v>
      </x:c>
      <x:c r="E28" s="12" t="str">
        <x:v>Interlock design and unloaded fixture</x:v>
      </x:c>
      <x:c r="F28" s="12" t="str">
        <x:v>Not implemented</x:v>
      </x:c>
      <x:c r="G28" s="12" t="str">
        <x:v>JB-R-042;JB-R-059</x:v>
      </x:c>
      <x:c r="H28" s="12" t="str">
        <x:v>BLOCKED</x:v>
      </x:c>
      <x:c r="I28" s="12" t="str">
        <x:v>NONE - NOT EXECUTED</x:v>
      </x:c>
      <x:c r="J28" s="12" t="str">
        <x:v>Faisal Farouq</x:v>
      </x:c>
      <x:c r="K28" s="12" t="str">
        <x:v>UNASSIGNED</x:v>
      </x:c>
      <x:c r="L28" s="12" t="str">
        <x:v>R0.1</x:v>
      </x:c>
      <x:c r="M28" s="12" t="str">
        <x:v>2026-10-23</x:v>
      </x:c>
    </x:row>
    <x:row r="29" ht="39" customHeight="1">
      <x:c r="A29" s="5" t="str">
        <x:v>JB-V-24</x:v>
      </x:c>
      <x:c r="B29" s="5" t="str">
        <x:v>Evidence and release audit</x:v>
      </x:c>
      <x:c r="C29" s="5" t="str">
        <x:v>Trace every PASS to run/configuration/calibration/raw logs and reviewer disposition; alter a configuration and verify invalidation.</x:v>
      </x:c>
      <x:c r="D29" s="5" t="str">
        <x:v>No unexecuted PASS; evidence hash and limitations present; simulation and physical results distinguished.</x:v>
      </x:c>
      <x:c r="E29" s="5" t="str">
        <x:v>Executed tests and evidence reviewer</x:v>
      </x:c>
      <x:c r="F29" s="5" t="str">
        <x:v>No physical or software tests executed</x:v>
      </x:c>
      <x:c r="G29" s="5" t="str">
        <x:v>JB-R-043;JB-R-064</x:v>
      </x:c>
      <x:c r="H29" s="5" t="str">
        <x:v>BLOCKED</x:v>
      </x:c>
      <x:c r="I29" s="5" t="str">
        <x:v>NONE - NOT EXECUTED</x:v>
      </x:c>
      <x:c r="J29" s="5" t="str">
        <x:v>Faisal Farouq</x:v>
      </x:c>
      <x:c r="K29" s="5" t="str">
        <x:v>UNASSIGNED</x:v>
      </x:c>
      <x:c r="L29" s="5" t="str">
        <x:v>R0.1</x:v>
      </x:c>
      <x:c r="M29" s="5" t="str">
        <x:v>2026-10-23</x:v>
      </x:c>
    </x:row>
    <x:row r="30" ht="39" customHeight="1">
      <x:c r="A30" s="12" t="str">
        <x:v>JB-V-25</x:v>
      </x:c>
      <x:c r="B30" s="12" t="str">
        <x:v>Integration and complete demonstration</x:v>
      </x:c>
      <x:c r="C30" s="12" t="str">
        <x:v>Inspect prerequisites of all 16 stages; run software segment before independent physical segments; record skipped gates.</x:v>
      </x:c>
      <x:c r="D30" s="12" t="str">
        <x:v>No out-of-order hazardous progression; full Year 1 claim only after all required evidence, including both gait trials and handling.</x:v>
      </x:c>
      <x:c r="E30" s="12" t="str">
        <x:v>All prior gates and approved demo plan</x:v>
      </x:c>
      <x:c r="F30" s="12" t="str">
        <x:v>Not ready</x:v>
      </x:c>
      <x:c r="G30" s="12" t="str">
        <x:v>JB-R-045;JB-R-048;JB-R-063</x:v>
      </x:c>
      <x:c r="H30" s="12" t="str">
        <x:v>BLOCKED</x:v>
      </x:c>
      <x:c r="I30" s="12" t="str">
        <x:v>NONE - NOT EXECUTED</x:v>
      </x:c>
      <x:c r="J30" s="12" t="str">
        <x:v>Faisal Farouq</x:v>
      </x:c>
      <x:c r="K30" s="12" t="str">
        <x:v>UNASSIGNED</x:v>
      </x:c>
      <x:c r="L30" s="12" t="str">
        <x:v>R0.1</x:v>
      </x:c>
      <x:c r="M30" s="12" t="str">
        <x:v>2026-10-23</x:v>
      </x:c>
    </x:row>
    <x:row r="31" ht="39" customHeight="1">
      <x:c r="A31" s="5" t="str">
        <x:v>JB-V-26</x:v>
      </x:c>
      <x:c r="B31" s="5" t="str">
        <x:v>Later phase exclusion inspection</x:v>
      </x:c>
      <x:c r="C31" s="5" t="str">
        <x:v>Review roadmaps, UI affordances, endpoints and public claims for deferred or excluded capabilities.</x:v>
      </x:c>
      <x:c r="D31" s="5" t="str">
        <x:v>No unapproved later-phase feature enabled or promised; new scope requires new requirements and reviews.</x:v>
      </x:c>
      <x:c r="E31" s="5" t="str">
        <x:v>Configuration and release review</x:v>
      </x:c>
      <x:c r="F31" s="5" t="str">
        <x:v>No implementation</x:v>
      </x:c>
      <x:c r="G31" s="5" t="str">
        <x:v>JB-R-051;JB-R-052;JB-R-053;JB-R-054;JB-R-055;JB-R-056</x:v>
      </x:c>
      <x:c r="H31" s="5" t="str">
        <x:v>BLOCKED</x:v>
      </x:c>
      <x:c r="I31" s="5" t="str">
        <x:v>NONE - NOT EXECUTED</x:v>
      </x:c>
      <x:c r="J31" s="5" t="str">
        <x:v>Faisal Farouq</x:v>
      </x:c>
      <x:c r="K31" s="5" t="str">
        <x:v>UNASSIGNED</x:v>
      </x:c>
      <x:c r="L31" s="5" t="str">
        <x:v>R0.1</x:v>
      </x:c>
      <x:c r="M31" s="5" t="str">
        <x:v>2026-10-23</x:v>
      </x:c>
    </x:row>
  </x:sheetData>
  <x:conditionalFormatting sqref="A1:M31">
    <x:cfRule type="containsText" dxfId="10" priority="1" operator="containsText" text="BLOCKED"/>
    <x:cfRule type="containsText" dxfId="11" priority="2" operator="containsText" text="MISSING INPUT"/>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5" hidden="0" customWidth="1"/>
    <x:col min="3" max="3" width="30" hidden="0" customWidth="1"/>
    <x:col min="4" max="4" width="14" hidden="0" customWidth="1"/>
    <x:col min="5" max="5" width="17" hidden="0" customWidth="1"/>
    <x:col min="6" max="6" width="25" hidden="0" customWidth="1"/>
    <x:col min="7" max="7" width="70" hidden="0" customWidth="1"/>
    <x:col min="8" max="8" width="30" hidden="0" customWidth="1"/>
    <x:col min="9" max="9" width="30" hidden="0" customWidth="1"/>
    <x:col min="10" max="10" width="45" hidden="0" customWidth="1"/>
    <x:col min="11" max="11" width="19" hidden="0" customWidth="1"/>
    <x:col min="12" max="12" width="22" hidden="0" customWidth="1"/>
    <x:col min="13" max="13" width="22" hidden="0" customWidth="1"/>
    <x:col min="14" max="14" width="24" hidden="0" customWidth="1"/>
    <x:col min="15" max="15" width="10" hidden="0" customWidth="1"/>
    <x:col min="16" max="16" width="15" hidden="0" customWidth="1"/>
  </x:cols>
  <x:sheetData>
    <x:row r="1">
      <x:c r="A1" s="1"/>
      <x:c r="B1" s="1"/>
      <x:c r="C1" s="1"/>
      <x:c r="D1" s="1"/>
      <x:c r="E1" s="1"/>
      <x:c r="F1" s="1"/>
      <x:c r="G1" s="1"/>
      <x:c r="H1" s="1"/>
      <x:c r="I1" s="1"/>
      <x:c r="J1" s="1"/>
      <x:c r="K1" s="1"/>
      <x:c r="L1" s="1"/>
      <x:c r="M1" s="1"/>
      <x:c r="N1" s="1"/>
      <x:c r="O1" s="1"/>
      <x:c r="P1" s="1"/>
    </x:row>
    <x:row r="2" ht="25" customHeight="1">
      <x:c r="A2" s="2" t="str">
        <x:v>Hazards</x:v>
      </x:c>
      <x:c r="B2" s="1"/>
      <x:c r="C2" s="1"/>
      <x:c r="D2" s="1"/>
      <x:c r="E2" s="1"/>
      <x:c r="F2" s="1"/>
      <x:c r="G2" s="1"/>
      <x:c r="H2" s="1"/>
      <x:c r="I2" s="1"/>
      <x:c r="J2" s="1"/>
      <x:c r="K2" s="1"/>
      <x:c r="L2" s="1"/>
      <x:c r="M2" s="1"/>
      <x:c r="N2" s="1"/>
      <x:c r="O2" s="1"/>
      <x:c r="P2" s="1"/>
    </x:row>
    <x:row r="3">
      <x:c r="A3" s="1" t="str">
        <x:v>R0.1</x:v>
      </x:c>
      <x:c r="B3" s="1" t="str">
        <x:v>Owner Faisal Farouq</x:v>
      </x:c>
      <x:c r="C3" s="1" t="str">
        <x:v>2026-10-23</x:v>
      </x:c>
      <x:c r="D3" s="1"/>
      <x:c r="E3" s="1"/>
      <x:c r="F3" s="1"/>
      <x:c r="G3" s="1"/>
      <x:c r="H3" s="1"/>
      <x:c r="I3" s="1"/>
      <x:c r="J3" s="1"/>
      <x:c r="K3" s="1"/>
      <x:c r="L3" s="1"/>
      <x:c r="M3" s="1"/>
      <x:c r="N3" s="1"/>
      <x:c r="O3" s="1"/>
      <x:c r="P3" s="1"/>
    </x:row>
    <x:row r="4">
      <x:c r="A4" s="3"/>
      <x:c r="B4" s="3"/>
      <x:c r="C4" s="3"/>
      <x:c r="D4" s="3"/>
      <x:c r="E4" s="3"/>
      <x:c r="F4" s="3"/>
      <x:c r="G4" s="3"/>
      <x:c r="H4" s="3"/>
      <x:c r="I4" s="3"/>
      <x:c r="J4" s="3"/>
      <x:c r="K4" s="3"/>
      <x:c r="L4" s="3"/>
      <x:c r="M4" s="3"/>
      <x:c r="N4" s="3"/>
      <x:c r="O4" s="3"/>
      <x:c r="P4" s="3"/>
    </x:row>
    <x:row r="5" ht="34" customHeight="1">
      <x:c r="A5" s="9" t="str">
        <x:v>Hazard ID</x:v>
      </x:c>
      <x:c r="B5" s="10" t="str">
        <x:v>Hazard or ethical issue</x:v>
      </x:c>
      <x:c r="C5" s="10" t="str">
        <x:v>Credible harm</x:v>
      </x:c>
      <x:c r="D5" s="10" t="str">
        <x:v>Severity 1-4</x:v>
      </x:c>
      <x:c r="E5" s="10" t="str">
        <x:v>Release priority</x:v>
      </x:c>
      <x:c r="F5" s="10" t="str">
        <x:v>Context</x:v>
      </x:c>
      <x:c r="G5" s="10" t="str">
        <x:v>Controls</x:v>
      </x:c>
      <x:c r="H5" s="10" t="str">
        <x:v>Requirement IDs</x:v>
      </x:c>
      <x:c r="I5" s="10" t="str">
        <x:v>Verification IDs</x:v>
      </x:c>
      <x:c r="J5" s="10" t="str">
        <x:v>Specialist reviewer</x:v>
      </x:c>
      <x:c r="K5" s="10" t="str">
        <x:v>Likelihood</x:v>
      </x:c>
      <x:c r="L5" s="10" t="str">
        <x:v>Residual risk</x:v>
      </x:c>
      <x:c r="M5" s="10" t="str">
        <x:v>Acceptance</x:v>
      </x:c>
      <x:c r="N5" s="10" t="str">
        <x:v>Accountable owner</x:v>
      </x:c>
      <x:c r="O5" s="10" t="str">
        <x:v>Revision</x:v>
      </x:c>
      <x:c r="P5" s="11" t="str">
        <x:v>Date</x:v>
      </x:c>
    </x:row>
    <x:row r="6" ht="39" customHeight="1">
      <x:c r="A6" s="12" t="str">
        <x:v>JB-H-01</x:v>
      </x:c>
      <x:c r="B6" s="12" t="str">
        <x:v>Fall or fall-protection failure</x:v>
      </x:c>
      <x:c r="C6" s="12" t="str">
        <x:v>Crushing, fatal injury</x:v>
      </x:c>
      <x:c r="D6" s="12" t="str">
        <x:v>4</x:v>
      </x:c>
      <x:c r="E6" s="12" t="str">
        <x:v>P0</x:v>
      </x:c>
      <x:c r="F6" s="12" t="str">
        <x:v>All walking modes</x:v>
      </x:c>
      <x:c r="G6" s="12" t="str">
        <x:v>Rated engineered robot arrest and anchors; independent inspection; exclusion zone; no persons in fall envelope</x:v>
      </x:c>
      <x:c r="H6" s="12" t="str">
        <x:v>JB-R-008;JB-R-014</x:v>
      </x:c>
      <x:c r="I6" s="12" t="str">
        <x:v>JB-V-06</x:v>
      </x:c>
      <x:c r="J6" s="12" t="str">
        <x:v>Qualified mechanical and rigging reviewer unassigned</x:v>
      </x:c>
      <x:c r="K6" s="12" t="str">
        <x:v>UNASSESSED</x:v>
      </x:c>
      <x:c r="L6" s="12" t="str">
        <x:v>UNASSESSED</x:v>
      </x:c>
      <x:c r="M6" s="12" t="str">
        <x:v>NOT RECORDED</x:v>
      </x:c>
      <x:c r="N6" s="12" t="str">
        <x:v>Faisal Farouq</x:v>
      </x:c>
      <x:c r="O6" s="12" t="str">
        <x:v>R0.1</x:v>
      </x:c>
      <x:c r="P6" s="12" t="str">
        <x:v>2026-10-23</x:v>
      </x:c>
    </x:row>
    <x:row r="7" ht="39" customHeight="1">
      <x:c r="A7" s="5" t="str">
        <x:v>JB-H-02</x:v>
      </x:c>
      <x:c r="B7" s="5" t="str">
        <x:v>Pinch shear or shell interference</x:v>
      </x:c>
      <x:c r="C7" s="5" t="str">
        <x:v>Finger or limb injury</x:v>
      </x:c>
      <x:c r="D7" s="5" t="str">
        <x:v>3</x:v>
      </x:c>
      <x:c r="E7" s="5" t="str">
        <x:v>P0</x:v>
      </x:c>
      <x:c r="F7" s="5" t="str">
        <x:v>Joints and panels</x:v>
      </x:c>
      <x:c r="G7" s="5" t="str">
        <x:v>Guard moving gaps; swept-clearance study; tool-only access; protected service procedure; independently enforced limits</x:v>
      </x:c>
      <x:c r="H7" s="5" t="str">
        <x:v>JB-R-012;JB-R-015</x:v>
      </x:c>
      <x:c r="I7" s="5" t="str">
        <x:v>JB-V-07;JB-V-09</x:v>
      </x:c>
      <x:c r="J7" s="5" t="str">
        <x:v>Qualified mechanical reviewer unassigned</x:v>
      </x:c>
      <x:c r="K7" s="5" t="str">
        <x:v>UNASSESSED</x:v>
      </x:c>
      <x:c r="L7" s="5" t="str">
        <x:v>UNASSESSED</x:v>
      </x:c>
      <x:c r="M7" s="5" t="str">
        <x:v>NOT RECORDED</x:v>
      </x:c>
      <x:c r="N7" s="5" t="str">
        <x:v>Faisal Farouq</x:v>
      </x:c>
      <x:c r="O7" s="5" t="str">
        <x:v>R0.1</x:v>
      </x:c>
      <x:c r="P7" s="5" t="str">
        <x:v>2026-10-23</x:v>
      </x:c>
    </x:row>
    <x:row r="8" ht="39" customHeight="1">
      <x:c r="A8" s="12" t="str">
        <x:v>JB-H-03</x:v>
      </x:c>
      <x:c r="B8" s="12" t="str">
        <x:v>Runaway actuator or AI boundary bypass</x:v>
      </x:c>
      <x:c r="C8" s="12" t="str">
        <x:v>Impact or crushing</x:v>
      </x:c>
      <x:c r="D8" s="12" t="str">
        <x:v>4</x:v>
      </x:c>
      <x:c r="E8" s="12" t="str">
        <x:v>P0</x:v>
      </x:c>
      <x:c r="F8" s="12" t="str">
        <x:v>Any powered motion</x:v>
      </x:c>
      <x:c r="G8" s="12" t="str">
        <x:v>Independent stop chain; safety watchdog; physical enabling; bus isolation; fault injection; no model motor access</x:v>
      </x:c>
      <x:c r="H8" s="12" t="str">
        <x:v>JB-R-013;JB-R-016</x:v>
      </x:c>
      <x:c r="I8" s="12" t="str">
        <x:v>JB-V-08;JB-V-09</x:v>
      </x:c>
      <x:c r="J8" s="12" t="str">
        <x:v>Qualified controls reviewer unassigned</x:v>
      </x:c>
      <x:c r="K8" s="12" t="str">
        <x:v>UNASSESSED</x:v>
      </x:c>
      <x:c r="L8" s="12" t="str">
        <x:v>UNASSESSED</x:v>
      </x:c>
      <x:c r="M8" s="12" t="str">
        <x:v>NOT RECORDED</x:v>
      </x:c>
      <x:c r="N8" s="12" t="str">
        <x:v>Faisal Farouq</x:v>
      </x:c>
      <x:c r="O8" s="12" t="str">
        <x:v>R0.1</x:v>
      </x:c>
      <x:c r="P8" s="12" t="str">
        <x:v>2026-10-23</x:v>
      </x:c>
    </x:row>
    <x:row r="9" ht="39" customHeight="1">
      <x:c r="A9" s="5" t="str">
        <x:v>JB-H-04</x:v>
      </x:c>
      <x:c r="B9" s="5" t="str">
        <x:v>Battery fault regen overvoltage or overheating</x:v>
      </x:c>
      <x:c r="C9" s="5" t="str">
        <x:v>Fire burn or electrical injury</x:v>
      </x:c>
      <x:c r="D9" s="5" t="str">
        <x:v>4</x:v>
      </x:c>
      <x:c r="E9" s="5" t="str">
        <x:v>P0</x:v>
      </x:c>
      <x:c r="F9" s="5" t="str">
        <x:v>Power system</x:v>
      </x:c>
      <x:c r="G9" s="5" t="str">
        <x:v>Commercial protected battery; fusing; precharge; discharge path; pack-specific charging; regen and thermal review; local temperature trips</x:v>
      </x:c>
      <x:c r="H9" s="5" t="str">
        <x:v>JB-R-015;JB-R-047</x:v>
      </x:c>
      <x:c r="I9" s="5" t="str">
        <x:v>JB-V-08;JB-V-09</x:v>
      </x:c>
      <x:c r="J9" s="5" t="str">
        <x:v>Qualified electrical reviewer unassigned</x:v>
      </x:c>
      <x:c r="K9" s="5" t="str">
        <x:v>UNASSESSED</x:v>
      </x:c>
      <x:c r="L9" s="5" t="str">
        <x:v>UNASSESSED</x:v>
      </x:c>
      <x:c r="M9" s="5" t="str">
        <x:v>NOT RECORDED</x:v>
      </x:c>
      <x:c r="N9" s="5" t="str">
        <x:v>Faisal Farouq</x:v>
      </x:c>
      <x:c r="O9" s="5" t="str">
        <x:v>R0.1</x:v>
      </x:c>
      <x:c r="P9" s="5" t="str">
        <x:v>2026-10-23</x:v>
      </x:c>
    </x:row>
    <x:row r="10" ht="39" customHeight="1">
      <x:c r="A10" s="12" t="str">
        <x:v>JB-H-05</x:v>
      </x:c>
      <x:c r="B10" s="12" t="str">
        <x:v>Dropped payload or person-assistance misuse</x:v>
      </x:c>
      <x:c r="C10" s="12" t="str">
        <x:v>Crushing or musculoskeletal injury</x:v>
      </x:c>
      <x:c r="D10" s="12" t="str">
        <x:v>4</x:v>
      </x:c>
      <x:c r="E10" s="12" t="str">
        <x:v>P0</x:v>
      </x:c>
      <x:c r="F10" s="12" t="str">
        <x:v>Handling</x:v>
      </x:c>
      <x:c r="G10" s="12" t="str">
        <x:v>Stationary secured fixture; captured inert payload; guarded catch tray; interlock; no person support; no walking payload</x:v>
      </x:c>
      <x:c r="H10" s="12" t="str">
        <x:v>JB-R-040;JB-R-042;JB-R-059</x:v>
      </x:c>
      <x:c r="I10" s="12" t="str">
        <x:v>JB-V-22;JB-V-23</x:v>
      </x:c>
      <x:c r="J10" s="12" t="str">
        <x:v>Qualified handling reviewer unassigned</x:v>
      </x:c>
      <x:c r="K10" s="12" t="str">
        <x:v>UNASSESSED</x:v>
      </x:c>
      <x:c r="L10" s="12" t="str">
        <x:v>UNASSESSED</x:v>
      </x:c>
      <x:c r="M10" s="12" t="str">
        <x:v>NOT RECORDED</x:v>
      </x:c>
      <x:c r="N10" s="12" t="str">
        <x:v>Faisal Farouq</x:v>
      </x:c>
      <x:c r="O10" s="12" t="str">
        <x:v>R0.1</x:v>
      </x:c>
      <x:c r="P10" s="12" t="str">
        <x:v>2026-10-23</x:v>
      </x:c>
    </x:row>
    <x:row r="11" ht="39" customHeight="1">
      <x:c r="A11" s="5" t="str">
        <x:v>JB-H-06</x:v>
      </x:c>
      <x:c r="B11" s="5" t="str">
        <x:v>Medication advice or false ingestion record</x:v>
      </x:c>
      <x:c r="C11" s="5" t="str">
        <x:v>Misleading medication action</x:v>
      </x:c>
      <x:c r="D11" s="5" t="str">
        <x:v>4</x:v>
      </x:c>
      <x:c r="E11" s="5" t="str">
        <x:v>P0</x:v>
      </x:c>
      <x:c r="F11" s="5" t="str">
        <x:v>Medication workflow</x:v>
      </x:c>
      <x:c r="G11" s="5" t="str">
        <x:v>Verbatim instructions; no dosing engine; human revision confirmation; response provenance; explicit missed-dose send confirmation</x:v>
      </x:c>
      <x:c r="H11" s="5" t="str">
        <x:v>JB-R-027;JB-R-030;JB-R-058</x:v>
      </x:c>
      <x:c r="I11" s="5" t="str">
        <x:v>JB-V-18;JB-V-19</x:v>
      </x:c>
      <x:c r="J11" s="5" t="str">
        <x:v>Clinical workflow reviewer unassigned</x:v>
      </x:c>
      <x:c r="K11" s="5" t="str">
        <x:v>UNASSESSED</x:v>
      </x:c>
      <x:c r="L11" s="5" t="str">
        <x:v>UNASSESSED</x:v>
      </x:c>
      <x:c r="M11" s="5" t="str">
        <x:v>NOT RECORDED</x:v>
      </x:c>
      <x:c r="N11" s="5" t="str">
        <x:v>Faisal Farouq</x:v>
      </x:c>
      <x:c r="O11" s="5" t="str">
        <x:v>R0.1</x:v>
      </x:c>
      <x:c r="P11" s="5" t="str">
        <x:v>2026-10-23</x:v>
      </x:c>
    </x:row>
    <x:row r="12" ht="39" customHeight="1">
      <x:c r="A12" s="12" t="str">
        <x:v>JB-H-07</x:v>
      </x:c>
      <x:c r="B12" s="12" t="str">
        <x:v>Privacy loss or unauthorized recipient</x:v>
      </x:c>
      <x:c r="C12" s="12" t="str">
        <x:v>Disclosure and consent violation</x:v>
      </x:c>
      <x:c r="D12" s="12" t="str">
        <x:v>3</x:v>
      </x:c>
      <x:c r="E12" s="12" t="str">
        <x:v>P0</x:v>
      </x:c>
      <x:c r="F12" s="12" t="str">
        <x:v>Records calls camera and reports</x:v>
      </x:c>
      <x:c r="G12" s="12" t="str">
        <x:v>Fictional allowlist; no real records; role access; local storage; capture off; recipient/content-bound consent; redacted evidence</x:v>
      </x:c>
      <x:c r="H12" s="12" t="str">
        <x:v>JB-R-017;JB-R-036;JB-R-046</x:v>
      </x:c>
      <x:c r="I12" s="12" t="str">
        <x:v>JB-V-10;JB-V-11;JB-V-19</x:v>
      </x:c>
      <x:c r="J12" s="12" t="str">
        <x:v>Security/privacy reviewer unassigned</x:v>
      </x:c>
      <x:c r="K12" s="12" t="str">
        <x:v>UNASSESSED</x:v>
      </x:c>
      <x:c r="L12" s="12" t="str">
        <x:v>UNASSESSED</x:v>
      </x:c>
      <x:c r="M12" s="12" t="str">
        <x:v>NOT RECORDED</x:v>
      </x:c>
      <x:c r="N12" s="12" t="str">
        <x:v>Faisal Farouq</x:v>
      </x:c>
      <x:c r="O12" s="12" t="str">
        <x:v>R0.1</x:v>
      </x:c>
      <x:c r="P12" s="12" t="str">
        <x:v>2026-10-23</x:v>
      </x:c>
    </x:row>
    <x:row r="13" ht="39" customHeight="1">
      <x:c r="A13" s="5" t="str">
        <x:v>JB-H-08</x:v>
      </x:c>
      <x:c r="B13" s="5" t="str">
        <x:v>Wrong unit stale source or silent record change</x:v>
      </x:c>
      <x:c r="C13" s="5" t="str">
        <x:v>Misleading report</x:v>
      </x:c>
      <x:c r="D13" s="5" t="str">
        <x:v>3</x:v>
      </x:c>
      <x:c r="E13" s="5" t="str">
        <x:v>P1</x:v>
      </x:c>
      <x:c r="F13" s="5" t="str">
        <x:v>Record service</x:v>
      </x:c>
      <x:c r="G13" s="5" t="str">
        <x:v>Typed units; observed/recorded time; source labels; append-only versions; deterministic summaries; unknowns explicit</x:v>
      </x:c>
      <x:c r="H13" s="5" t="str">
        <x:v>JB-R-023;JB-R-025;JB-R-037</x:v>
      </x:c>
      <x:c r="I13" s="5" t="str">
        <x:v>JB-V-15;JB-V-16</x:v>
      </x:c>
      <x:c r="J13" s="5" t="str">
        <x:v>Software/data reviewer unassigned</x:v>
      </x:c>
      <x:c r="K13" s="5" t="str">
        <x:v>UNASSESSED</x:v>
      </x:c>
      <x:c r="L13" s="5" t="str">
        <x:v>UNASSESSED</x:v>
      </x:c>
      <x:c r="M13" s="5" t="str">
        <x:v>NOT RECORDED</x:v>
      </x:c>
      <x:c r="N13" s="5" t="str">
        <x:v>Faisal Farouq</x:v>
      </x:c>
      <x:c r="O13" s="5" t="str">
        <x:v>R0.1</x:v>
      </x:c>
      <x:c r="P13" s="5" t="str">
        <x:v>2026-10-23</x:v>
      </x:c>
    </x:row>
    <x:row r="14" ht="39" customHeight="1">
      <x:c r="A14" s="12" t="str">
        <x:v>JB-H-09</x:v>
      </x:c>
      <x:c r="B14" s="12" t="str">
        <x:v>False clinical authority or emotional overreliance</x:v>
      </x:c>
      <x:c r="C14" s="12" t="str">
        <x:v>Delayed human care or distress</x:v>
      </x:c>
      <x:c r="D14" s="12" t="str">
        <x:v>4</x:v>
      </x:c>
      <x:c r="E14" s="12" t="str">
        <x:v>P0</x:v>
      </x:c>
      <x:c r="F14" s="12" t="str">
        <x:v>Conversation and perception</x:v>
      </x:c>
      <x:c r="G14" s="12" t="str">
        <x:v>Persistent role disclosure; bounded responses; clarification/handoff; no diagnosis; non-diagnostic threshold language; guardian controls</x:v>
      </x:c>
      <x:c r="H14" s="12" t="str">
        <x:v>JB-R-001;JB-R-021;JB-R-057</x:v>
      </x:c>
      <x:c r="I14" s="12" t="str">
        <x:v>JB-V-13</x:v>
      </x:c>
      <x:c r="J14" s="12" t="str">
        <x:v>Human-factors/clinical reviewer unassigned</x:v>
      </x:c>
      <x:c r="K14" s="12" t="str">
        <x:v>UNASSESSED</x:v>
      </x:c>
      <x:c r="L14" s="12" t="str">
        <x:v>UNASSESSED</x:v>
      </x:c>
      <x:c r="M14" s="12" t="str">
        <x:v>NOT RECORDED</x:v>
      </x:c>
      <x:c r="N14" s="12" t="str">
        <x:v>Faisal Farouq</x:v>
      </x:c>
      <x:c r="O14" s="12" t="str">
        <x:v>R0.1</x:v>
      </x:c>
      <x:c r="P14" s="12" t="str">
        <x:v>2026-10-23</x:v>
      </x:c>
    </x:row>
    <x:row r="15" ht="39" customHeight="1">
      <x:c r="A15" s="5" t="str">
        <x:v>JB-H-10</x:v>
      </x:c>
      <x:c r="B15" s="5" t="str">
        <x:v>Lost duplicate or falsely acknowledged message</x:v>
      </x:c>
      <x:c r="C15" s="5" t="str">
        <x:v>Delayed or confused human response</x:v>
      </x:c>
      <x:c r="D15" s="5" t="str">
        <x:v>3</x:v>
      </x:c>
      <x:c r="E15" s="5" t="str">
        <x:v>P1</x:v>
      </x:c>
      <x:c r="F15" s="5" t="str">
        <x:v>Communication</x:v>
      </x:c>
      <x:c r="G15" s="5" t="str">
        <x:v>Outbox and idempotency; bounded retries; truthful status; manual call; received distinct from reviewed; no emergency promise</x:v>
      </x:c>
      <x:c r="H15" s="5" t="str">
        <x:v>JB-R-038;JB-R-060</x:v>
      </x:c>
      <x:c r="I15" s="5" t="str">
        <x:v>JB-V-21</x:v>
      </x:c>
      <x:c r="J15" s="5" t="str">
        <x:v>Communication reviewer unassigned</x:v>
      </x:c>
      <x:c r="K15" s="5" t="str">
        <x:v>UNASSESSED</x:v>
      </x:c>
      <x:c r="L15" s="5" t="str">
        <x:v>UNASSESSED</x:v>
      </x:c>
      <x:c r="M15" s="5" t="str">
        <x:v>NOT RECORDED</x:v>
      </x:c>
      <x:c r="N15" s="5" t="str">
        <x:v>Faisal Farouq</x:v>
      </x:c>
      <x:c r="O15" s="5" t="str">
        <x:v>R0.1</x:v>
      </x:c>
      <x:c r="P15" s="5" t="str">
        <x:v>2026-10-23</x:v>
      </x:c>
    </x:row>
    <x:row r="16" ht="39" customHeight="1">
      <x:c r="A16" s="12" t="str">
        <x:v>JB-H-11</x:v>
      </x:c>
      <x:c r="B16" s="12" t="str">
        <x:v>Perception or map error</x:v>
      </x:c>
      <x:c r="C16" s="12" t="str">
        <x:v>Collision or failed pickup</x:v>
      </x:c>
      <x:c r="D16" s="12" t="str">
        <x:v>3</x:v>
      </x:c>
      <x:c r="E16" s="12" t="str">
        <x:v>P0</x:v>
      </x:c>
      <x:c r="F16" s="12" t="str">
        <x:v>Mapping and object localization</x:v>
      </x:c>
      <x:c r="G16" s="12" t="str">
        <x:v>Static test objects; confidence and stale-data checks; no perception-only safety function; excluded person workspace; limited skills</x:v>
      </x:c>
      <x:c r="H16" s="12" t="str">
        <x:v>JB-R-034;JB-R-035</x:v>
      </x:c>
      <x:c r="I16" s="12" t="str">
        <x:v>JB-V-20</x:v>
      </x:c>
      <x:c r="J16" s="12" t="str">
        <x:v>Perception reviewer unassigned</x:v>
      </x:c>
      <x:c r="K16" s="12" t="str">
        <x:v>UNASSESSED</x:v>
      </x:c>
      <x:c r="L16" s="12" t="str">
        <x:v>UNASSESSED</x:v>
      </x:c>
      <x:c r="M16" s="12" t="str">
        <x:v>NOT RECORDED</x:v>
      </x:c>
      <x:c r="N16" s="12" t="str">
        <x:v>Faisal Farouq</x:v>
      </x:c>
      <x:c r="O16" s="12" t="str">
        <x:v>R0.1</x:v>
      </x:c>
      <x:c r="P16" s="12" t="str">
        <x:v>2026-10-23</x:v>
      </x:c>
    </x:row>
    <x:row r="17" ht="39" customHeight="1">
      <x:c r="A17" s="5" t="str">
        <x:v>JB-H-12</x:v>
      </x:c>
      <x:c r="B17" s="5" t="str">
        <x:v>Malicious prompt QR text or remote command</x:v>
      </x:c>
      <x:c r="C17" s="5" t="str">
        <x:v>Unsafe action or data alteration</x:v>
      </x:c>
      <x:c r="D17" s="5" t="str">
        <x:v>4</x:v>
      </x:c>
      <x:c r="E17" s="5" t="str">
        <x:v>P0</x:v>
      </x:c>
      <x:c r="F17" s="5" t="str">
        <x:v>AI tools and external content</x:v>
      </x:c>
      <x:c r="G17" s="5" t="str">
        <x:v>Untrusted-content boundary; least privilege; schema validation; no raw motor/DB/recipient permissions; signed configuration</x:v>
      </x:c>
      <x:c r="H17" s="5" t="str">
        <x:v>JB-R-016;JB-R-036</x:v>
      </x:c>
      <x:c r="I17" s="5" t="str">
        <x:v>JB-V-09;JB-V-19</x:v>
      </x:c>
      <x:c r="J17" s="5" t="str">
        <x:v>Security reviewer unassigned</x:v>
      </x:c>
      <x:c r="K17" s="5" t="str">
        <x:v>UNASSESSED</x:v>
      </x:c>
      <x:c r="L17" s="5" t="str">
        <x:v>UNASSESSED</x:v>
      </x:c>
      <x:c r="M17" s="5" t="str">
        <x:v>NOT RECORDED</x:v>
      </x:c>
      <x:c r="N17" s="5" t="str">
        <x:v>Faisal Farouq</x:v>
      </x:c>
      <x:c r="O17" s="5" t="str">
        <x:v>R0.1</x:v>
      </x:c>
      <x:c r="P17" s="5" t="str">
        <x:v>2026-10-23</x:v>
      </x:c>
    </x:row>
    <x:row r="18" ht="39" customHeight="1">
      <x:c r="A18" s="12" t="str">
        <x:v>JB-H-13</x:v>
      </x:c>
      <x:c r="B18" s="12" t="str">
        <x:v>Cleaning chemicals heat or poor service access</x:v>
      </x:c>
      <x:c r="C18" s="12" t="str">
        <x:v>Burn damage contamination</x:v>
      </x:c>
      <x:c r="D18" s="12" t="str">
        <x:v>3</x:v>
      </x:c>
      <x:c r="E18" s="12" t="str">
        <x:v>P1</x:v>
      </x:c>
      <x:c r="F18" s="12" t="str">
        <x:v>Panels and maintenance</x:v>
      </x:c>
      <x:c r="G18" s="12" t="str">
        <x:v>Material-compatible cleaning instructions; no clinical cleaning claim; cool-down and de-energized service; rounded edges</x:v>
      </x:c>
      <x:c r="H18" s="12" t="str">
        <x:v>JB-R-050</x:v>
      </x:c>
      <x:c r="I18" s="12" t="str">
        <x:v>JB-V-07</x:v>
      </x:c>
      <x:c r="J18" s="12" t="str">
        <x:v>Materials/service reviewer unassigned</x:v>
      </x:c>
      <x:c r="K18" s="12" t="str">
        <x:v>UNASSESSED</x:v>
      </x:c>
      <x:c r="L18" s="12" t="str">
        <x:v>UNASSESSED</x:v>
      </x:c>
      <x:c r="M18" s="12" t="str">
        <x:v>NOT RECORDED</x:v>
      </x:c>
      <x:c r="N18" s="12" t="str">
        <x:v>Faisal Farouq</x:v>
      </x:c>
      <x:c r="O18" s="12" t="str">
        <x:v>R0.1</x:v>
      </x:c>
      <x:c r="P18" s="12" t="str">
        <x:v>2026-10-23</x:v>
      </x:c>
    </x:row>
    <x:row r="19" ht="39" customHeight="1">
      <x:c r="A19" s="5" t="str">
        <x:v>JB-H-14</x:v>
      </x:c>
      <x:c r="B19" s="5" t="str">
        <x:v>Tether trip snag or load-bearing assistance</x:v>
      </x:c>
      <x:c r="C19" s="5" t="str">
        <x:v>Fall hazard or misleading gait result</x:v>
      </x:c>
      <x:c r="D19" s="5" t="str">
        <x:v>3</x:v>
      </x:c>
      <x:c r="E19" s="5" t="str">
        <x:v>P0</x:v>
      </x:c>
      <x:c r="F19" s="5" t="str">
        <x:v>Walking tests</x:v>
      </x:c>
      <x:c r="G19" s="5" t="str">
        <x:v>Managed overhead routing; load-cell record; no tether pulling to create steps; separate supported-standing and gait outcomes</x:v>
      </x:c>
      <x:c r="H19" s="5" t="str">
        <x:v>JB-R-006;JB-R-008</x:v>
      </x:c>
      <x:c r="I19" s="5" t="str">
        <x:v>JB-V-05;JB-V-06</x:v>
      </x:c>
      <x:c r="J19" s="5" t="str">
        <x:v>Qualified rigging reviewer unassigned</x:v>
      </x:c>
      <x:c r="K19" s="5" t="str">
        <x:v>UNASSESSED</x:v>
      </x:c>
      <x:c r="L19" s="5" t="str">
        <x:v>UNASSESSED</x:v>
      </x:c>
      <x:c r="M19" s="5" t="str">
        <x:v>NOT RECORDED</x:v>
      </x:c>
      <x:c r="N19" s="5" t="str">
        <x:v>Faisal Farouq</x:v>
      </x:c>
      <x:c r="O19" s="5" t="str">
        <x:v>R0.1</x:v>
      </x:c>
      <x:c r="P19" s="5" t="str">
        <x:v>2026-10-23</x:v>
      </x:c>
    </x:row>
    <x:row r="20" ht="39" customHeight="1">
      <x:c r="A20" s="12" t="str">
        <x:v>JB-H-15</x:v>
      </x:c>
      <x:c r="B20" s="12" t="str">
        <x:v>Fabricated pass or configuration mismatch</x:v>
      </x:c>
      <x:c r="C20" s="12" t="str">
        <x:v>Unsafe release decision</x:v>
      </x:c>
      <x:c r="D20" s="12" t="str">
        <x:v>4</x:v>
      </x:c>
      <x:c r="E20" s="12" t="str">
        <x:v>P0</x:v>
      </x:c>
      <x:c r="F20" s="12" t="str">
        <x:v>Evidence</x:v>
      </x:c>
      <x:c r="G20" s="12" t="str">
        <x:v>Immutable raw logs; named reviewer; test ID and hash; unexecuted stays BLOCKED; record failed attempts</x:v>
      </x:c>
      <x:c r="H20" s="12" t="str">
        <x:v>JB-R-043;JB-R-064</x:v>
      </x:c>
      <x:c r="I20" s="12" t="str">
        <x:v>JB-V-24</x:v>
      </x:c>
      <x:c r="J20" s="12" t="str">
        <x:v>Independent evidence reviewer unassigned</x:v>
      </x:c>
      <x:c r="K20" s="12" t="str">
        <x:v>UNASSESSED</x:v>
      </x:c>
      <x:c r="L20" s="12" t="str">
        <x:v>UNASSESSED</x:v>
      </x:c>
      <x:c r="M20" s="12" t="str">
        <x:v>NOT RECORDED</x:v>
      </x:c>
      <x:c r="N20" s="12" t="str">
        <x:v>Faisal Farouq</x:v>
      </x:c>
      <x:c r="O20" s="12" t="str">
        <x:v>R0.1</x:v>
      </x:c>
      <x:c r="P20" s="12" t="str">
        <x:v>2026-10-23</x:v>
      </x:c>
    </x:row>
    <x:row r="21" ht="39" customHeight="1">
      <x:c r="A21" s="5" t="str">
        <x:v>JB-H-16</x:v>
      </x:c>
      <x:c r="B21" s="5" t="str">
        <x:v>Accessibility exclusion or child interaction error</x:v>
      </x:c>
      <x:c r="C21" s="5" t="str">
        <x:v>Distress or inability to request help</x:v>
      </x:c>
      <x:c r="D21" s="5" t="str">
        <x:v>3</x:v>
      </x:c>
      <x:c r="E21" s="5" t="str">
        <x:v>P1</x:v>
      </x:c>
      <x:c r="F21" s="5" t="str">
        <x:v>User interaction</x:v>
      </x:c>
      <x:c r="G21" s="5" t="str">
        <x:v>Caption/large text/communication board; five presets; no unsupervised minors or vulnerable participants; scripted adult testers first</x:v>
      </x:c>
      <x:c r="H21" s="5" t="str">
        <x:v>JB-R-020;JB-R-056</x:v>
      </x:c>
      <x:c r="I21" s="5" t="str">
        <x:v>JB-V-12;JB-V-14</x:v>
      </x:c>
      <x:c r="J21" s="5" t="str">
        <x:v>Human-factors reviewer unassigned</x:v>
      </x:c>
      <x:c r="K21" s="5" t="str">
        <x:v>UNASSESSED</x:v>
      </x:c>
      <x:c r="L21" s="5" t="str">
        <x:v>UNASSESSED</x:v>
      </x:c>
      <x:c r="M21" s="5" t="str">
        <x:v>NOT RECORDED</x:v>
      </x:c>
      <x:c r="N21" s="5" t="str">
        <x:v>Faisal Farouq</x:v>
      </x:c>
      <x:c r="O21" s="5" t="str">
        <x:v>R0.1</x:v>
      </x:c>
      <x:c r="P21" s="5" t="str">
        <x:v>2026-10-23</x:v>
      </x:c>
    </x:row>
    <x:row r="22" ht="39" customHeight="1">
      <x:c r="A22" s="12" t="str">
        <x:v>JB-H-17</x:v>
      </x:c>
      <x:c r="B22" s="12" t="str">
        <x:v>Power removal releases gravity load</x:v>
      </x:c>
      <x:c r="C22" s="12" t="str">
        <x:v>Collapse on stop</x:v>
      </x:c>
      <x:c r="D22" s="12" t="str">
        <x:v>4</x:v>
      </x:c>
      <x:c r="E22" s="12" t="str">
        <x:v>P0</x:v>
      </x:c>
      <x:c r="F22" s="12" t="str">
        <x:v>E stop and power loss</x:v>
      </x:c>
      <x:c r="G22" s="12" t="str">
        <x:v>Mechanical support/fall arrest remains effective without power; reviewed brakes/restraints; do not equate torque-off with stable standing</x:v>
      </x:c>
      <x:c r="H22" s="12" t="str">
        <x:v>JB-R-014</x:v>
      </x:c>
      <x:c r="I22" s="12" t="str">
        <x:v>JB-V-08;JB-V-06</x:v>
      </x:c>
      <x:c r="J22" s="12" t="str">
        <x:v>Qualified controls and rigging reviewers unassigned</x:v>
      </x:c>
      <x:c r="K22" s="12" t="str">
        <x:v>UNASSESSED</x:v>
      </x:c>
      <x:c r="L22" s="12" t="str">
        <x:v>UNASSESSED</x:v>
      </x:c>
      <x:c r="M22" s="12" t="str">
        <x:v>NOT RECORDED</x:v>
      </x:c>
      <x:c r="N22" s="12" t="str">
        <x:v>Faisal Farouq</x:v>
      </x:c>
      <x:c r="O22" s="12" t="str">
        <x:v>R0.1</x:v>
      </x:c>
      <x:c r="P22" s="12" t="str">
        <x:v>2026-10-23</x:v>
      </x:c>
    </x:row>
    <x:row r="23" ht="39" customHeight="1">
      <x:c r="A23" s="5" t="str">
        <x:v>JB-H-18</x:v>
      </x:c>
      <x:c r="B23" s="5" t="str">
        <x:v>Cost or mass growth drives unsafe shortcuts</x:v>
      </x:c>
      <x:c r="C23" s="5" t="str">
        <x:v>Underdesigned system or budget failure</x:v>
      </x:c>
      <x:c r="D23" s="5" t="str">
        <x:v>4</x:v>
      </x:c>
      <x:c r="E23" s="5" t="str">
        <x:v>P0</x:v>
      </x:c>
      <x:c r="F23" s="5" t="str">
        <x:v>Procurement</x:v>
      </x:c>
      <x:c r="G23" s="5" t="str">
        <x:v>Hard gates; include fall protection and review costs; landed quotes; &gt;55 kg rework, &gt;65 kg major review; no peak-only sizing</x:v>
      </x:c>
      <x:c r="H23" s="5" t="str">
        <x:v>JB-R-004;JB-R-009;JB-R-044</x:v>
      </x:c>
      <x:c r="I23" s="5" t="str">
        <x:v>JB-V-03</x:v>
      </x:c>
      <x:c r="J23" s="5" t="str">
        <x:v>Project owner and independent reviewer</x:v>
      </x:c>
      <x:c r="K23" s="5" t="str">
        <x:v>UNASSESSED</x:v>
      </x:c>
      <x:c r="L23" s="5" t="str">
        <x:v>UNASSESSED</x:v>
      </x:c>
      <x:c r="M23" s="5" t="str">
        <x:v>NOT RECORDED</x:v>
      </x:c>
      <x:c r="N23" s="5" t="str">
        <x:v>Faisal Farouq</x:v>
      </x:c>
      <x:c r="O23" s="5" t="str">
        <x:v>R0.1</x:v>
      </x:c>
      <x:c r="P23" s="5" t="str">
        <x:v>2026-10-23</x:v>
      </x:c>
    </x:row>
    <x:row r="24" ht="39" customHeight="1">
      <x:c r="A24" s="12" t="str">
        <x:v>JB-H-19</x:v>
      </x:c>
      <x:c r="B24" s="12" t="str">
        <x:v>Schedule pressure bypasses integration gates</x:v>
      </x:c>
      <x:c r="C24" s="12" t="str">
        <x:v>Uncontrolled hazardous integration</x:v>
      </x:c>
      <x:c r="D24" s="12" t="str">
        <x:v>4</x:v>
      </x:c>
      <x:c r="E24" s="12" t="str">
        <x:v>P0</x:v>
      </x:c>
      <x:c r="F24" s="12" t="str">
        <x:v>Demonstrations</x:v>
      </x:c>
      <x:c r="G24" s="12" t="str">
        <x:v>16-stage sequence; no first hazardous pairing at public event; non-motion fallback is reported as partial completion</x:v>
      </x:c>
      <x:c r="H24" s="12" t="str">
        <x:v>JB-R-045;JB-R-063</x:v>
      </x:c>
      <x:c r="I24" s="12" t="str">
        <x:v>JB-V-25</x:v>
      </x:c>
      <x:c r="J24" s="12" t="str">
        <x:v>Test director unassigned</x:v>
      </x:c>
      <x:c r="K24" s="12" t="str">
        <x:v>UNASSESSED</x:v>
      </x:c>
      <x:c r="L24" s="12" t="str">
        <x:v>UNASSESSED</x:v>
      </x:c>
      <x:c r="M24" s="12" t="str">
        <x:v>NOT RECORDED</x:v>
      </x:c>
      <x:c r="N24" s="12" t="str">
        <x:v>Faisal Farouq</x:v>
      </x:c>
      <x:c r="O24" s="12" t="str">
        <x:v>R0.1</x:v>
      </x:c>
      <x:c r="P24" s="12" t="str">
        <x:v>2026-10-23</x:v>
      </x:c>
    </x:row>
    <x:row r="25" ht="39" customHeight="1">
      <x:c r="A25" s="5" t="str">
        <x:v>JB-H-20</x:v>
      </x:c>
      <x:c r="B25" s="5" t="str">
        <x:v>Friendly appearance encourages touching</x:v>
      </x:c>
      <x:c r="C25" s="5" t="str">
        <x:v>Entry into pinch or fall zone</x:v>
      </x:c>
      <x:c r="D25" s="5" t="str">
        <x:v>4</x:v>
      </x:c>
      <x:c r="E25" s="5" t="str">
        <x:v>P0</x:v>
      </x:c>
      <x:c r="F25" s="5" t="str">
        <x:v>Physical demonstration</x:v>
      </x:c>
      <x:c r="G25" s="5" t="str">
        <x:v>Barriers and operator briefing; remote spectator display; visible stop button; no patient contact in Year 1</x:v>
      </x:c>
      <x:c r="H25" s="5" t="str">
        <x:v>JB-R-008;JB-R-063</x:v>
      </x:c>
      <x:c r="I25" s="5" t="str">
        <x:v>JB-V-06;JB-V-25</x:v>
      </x:c>
      <x:c r="J25" s="5" t="str">
        <x:v>Test director and human-factors reviewer unassigned</x:v>
      </x:c>
      <x:c r="K25" s="5" t="str">
        <x:v>UNASSESSED</x:v>
      </x:c>
      <x:c r="L25" s="5" t="str">
        <x:v>UNASSESSED</x:v>
      </x:c>
      <x:c r="M25" s="5" t="str">
        <x:v>NOT RECORDED</x:v>
      </x:c>
      <x:c r="N25" s="5" t="str">
        <x:v>Faisal Farouq</x:v>
      </x:c>
      <x:c r="O25" s="5" t="str">
        <x:v>R0.1</x:v>
      </x:c>
      <x:c r="P25" s="5" t="str">
        <x:v>2026-10-23</x:v>
      </x:c>
    </x:row>
  </x:sheetData>
  <x:conditionalFormatting sqref="A1:P25">
    <x:cfRule type="containsText" dxfId="12" priority="1" operator="containsText" text="BLOCKED"/>
    <x:cfRule type="containsText" dxfId="13" priority="2" operator="containsText" text="MISSING INPUT"/>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5" hidden="0" customWidth="1"/>
    <x:col min="2" max="2" width="65" hidden="0" customWidth="1"/>
    <x:col min="3" max="3" width="14" hidden="0" customWidth="1"/>
    <x:col min="4" max="4" width="13" hidden="0" customWidth="1"/>
    <x:col min="5" max="5" width="13" hidden="0" customWidth="1"/>
    <x:col min="6" max="6" width="13" hidden="0" customWidth="1"/>
    <x:col min="7" max="7" width="85" hidden="0" customWidth="1"/>
    <x:col min="8" max="8" width="25" hidden="0" customWidth="1"/>
    <x:col min="9" max="9" width="12" hidden="0" customWidth="1"/>
    <x:col min="10" max="10" width="12" hidden="0" customWidth="1"/>
  </x:cols>
  <x:sheetData>
    <x:row r="1">
      <x:c r="A1" s="1"/>
      <x:c r="B1" s="1"/>
      <x:c r="C1" s="1"/>
      <x:c r="D1" s="1"/>
      <x:c r="E1" s="1"/>
      <x:c r="F1" s="1"/>
      <x:c r="G1" s="1"/>
      <x:c r="H1" s="1"/>
      <x:c r="I1" s="1"/>
      <x:c r="J1" s="1"/>
    </x:row>
    <x:row r="2" ht="25" customHeight="1">
      <x:c r="A2" s="2" t="str">
        <x:v>Backlog</x:v>
      </x:c>
      <x:c r="B2" s="1"/>
      <x:c r="C2" s="1"/>
      <x:c r="D2" s="1"/>
      <x:c r="E2" s="1"/>
      <x:c r="F2" s="1"/>
      <x:c r="G2" s="1"/>
      <x:c r="H2" s="1"/>
      <x:c r="I2" s="1"/>
      <x:c r="J2" s="1"/>
    </x:row>
    <x:row r="3">
      <x:c r="A3" s="1" t="str">
        <x:v>R0.1</x:v>
      </x:c>
      <x:c r="B3" s="1" t="str">
        <x:v>Owner Faisal Farouq</x:v>
      </x:c>
      <x:c r="C3" s="1" t="str">
        <x:v>2026-10-23</x:v>
      </x:c>
      <x:c r="D3" s="1"/>
      <x:c r="E3" s="1"/>
      <x:c r="F3" s="1"/>
      <x:c r="G3" s="1"/>
      <x:c r="H3" s="1"/>
      <x:c r="I3" s="1"/>
      <x:c r="J3" s="1"/>
    </x:row>
    <x:row r="4">
      <x:c r="A4" s="3"/>
      <x:c r="B4" s="3"/>
      <x:c r="C4" s="3"/>
      <x:c r="D4" s="3"/>
      <x:c r="E4" s="3"/>
      <x:c r="F4" s="3"/>
      <x:c r="G4" s="3"/>
      <x:c r="H4" s="3"/>
      <x:c r="I4" s="3"/>
      <x:c r="J4" s="3"/>
    </x:row>
    <x:row r="5" ht="34" customHeight="1">
      <x:c r="A5" s="9" t="str">
        <x:v>Feature ID</x:v>
      </x:c>
      <x:c r="B5" s="10" t="str">
        <x:v>Feature</x:v>
      </x:c>
      <x:c r="C5" s="10" t="str">
        <x:v>Benefit 1-5</x:v>
      </x:c>
      <x:c r="D5" s="10" t="str">
        <x:v>Risk 1-5</x:v>
      </x:c>
      <x:c r="E5" s="10" t="str">
        <x:v>Cost 1-5</x:v>
      </x:c>
      <x:c r="F5" s="10" t="str">
        <x:v>Time 1-5</x:v>
      </x:c>
      <x:c r="G5" s="10" t="str">
        <x:v>Dependency</x:v>
      </x:c>
      <x:c r="H5" s="10" t="str">
        <x:v>Scope</x:v>
      </x:c>
      <x:c r="I5" s="10" t="str">
        <x:v>Score</x:v>
      </x:c>
      <x:c r="J5" s="11" t="str">
        <x:v>Rank</x:v>
      </x:c>
    </x:row>
    <x:row r="6" ht="29" customHeight="1">
      <x:c r="A6" s="12" t="str">
        <x:v>F-01</x:v>
      </x:c>
      <x:c r="B6" s="12" t="str">
        <x:v>Consent dashboard and persistent simulated labels</x:v>
      </x:c>
      <x:c r="C6" s="35" t="n">
        <x:v>5</x:v>
      </x:c>
      <x:c r="D6" s="35" t="n">
        <x:v>1</x:v>
      </x:c>
      <x:c r="E6" s="35" t="n">
        <x:v>1</x:v>
      </x:c>
      <x:c r="F6" s="35" t="n">
        <x:v>1</x:v>
      </x:c>
      <x:c r="G6" s="12" t="str">
        <x:v>None</x:v>
      </x:c>
      <x:c r="H6" s="12" t="str">
        <x:v>Year 1 core</x:v>
      </x:c>
      <x:c r="I6" s="12" t="n">
        <x:f>IF(COUNT(C6:F6)=4,2*C6+(6-D6)+(6-E6)+(6-F6),"MISSING INPUT")</x:f>
        <x:v>25</x:v>
      </x:c>
      <x:c r="J6" s="12" t="n">
        <x:f>IF(ISNUMBER(I6),1+COUNTIFS($I$6:$I$27,"&gt;"&amp;I6)+COUNTIFS($I$6:$I$27,I6,$A$6:$A$27,"&lt;"&amp;A6),"MISSING INPUT")</x:f>
        <x:v>1</x:v>
      </x:c>
    </x:row>
    <x:row r="7" ht="29" customHeight="1">
      <x:c r="A7" s="5" t="str">
        <x:v>F-02</x:v>
      </x:c>
      <x:c r="B7" s="5" t="str">
        <x:v>Large text high contrast captions and speech rate</x:v>
      </x:c>
      <x:c r="C7" s="35" t="n">
        <x:v>5</x:v>
      </x:c>
      <x:c r="D7" s="35" t="n">
        <x:v>1</x:v>
      </x:c>
      <x:c r="E7" s="35" t="n">
        <x:v>1</x:v>
      </x:c>
      <x:c r="F7" s="35" t="n">
        <x:v>1</x:v>
      </x:c>
      <x:c r="G7" s="5" t="str">
        <x:v>Local UI</x:v>
      </x:c>
      <x:c r="H7" s="5" t="str">
        <x:v>Year 1 core</x:v>
      </x:c>
      <x:c r="I7" s="5" t="n">
        <x:f>IF(COUNT(C7:F7)=4,2*C7+(6-D7)+(6-E7)+(6-F7),"MISSING INPUT")</x:f>
        <x:v>25</x:v>
      </x:c>
      <x:c r="J7" s="5" t="n">
        <x:f>IF(ISNUMBER(I7),1+COUNTIFS($I$6:$I$27,"&gt;"&amp;I7)+COUNTIFS($I$6:$I$27,I7,$A$6:$A$27,"&lt;"&amp;A7),"MISSING INPUT")</x:f>
        <x:v>2</x:v>
      </x:c>
    </x:row>
    <x:row r="8" ht="29" customHeight="1">
      <x:c r="A8" s="12" t="str">
        <x:v>F-03</x:v>
      </x:c>
      <x:c r="B8" s="12" t="str">
        <x:v>Manual human-contact button and communication board</x:v>
      </x:c>
      <x:c r="C8" s="35" t="n">
        <x:v>5</x:v>
      </x:c>
      <x:c r="D8" s="35" t="n">
        <x:v>2</x:v>
      </x:c>
      <x:c r="E8" s="35" t="n">
        <x:v>1</x:v>
      </x:c>
      <x:c r="F8" s="35" t="n">
        <x:v>1</x:v>
      </x:c>
      <x:c r="G8" s="12" t="str">
        <x:v>Approved recipient list</x:v>
      </x:c>
      <x:c r="H8" s="12" t="str">
        <x:v>Year 1 core</x:v>
      </x:c>
      <x:c r="I8" s="12" t="n">
        <x:f>IF(COUNT(C8:F8)=4,2*C8+(6-D8)+(6-E8)+(6-F8),"MISSING INPUT")</x:f>
        <x:v>24</x:v>
      </x:c>
      <x:c r="J8" s="12" t="n">
        <x:f>IF(ISNUMBER(I8),1+COUNTIFS($I$6:$I$27,"&gt;"&amp;I8)+COUNTIFS($I$6:$I$27,I8,$A$6:$A$27,"&lt;"&amp;A8),"MISSING INPUT")</x:f>
        <x:v>3</x:v>
      </x:c>
    </x:row>
    <x:row r="9" ht="29" customHeight="1">
      <x:c r="A9" s="5" t="str">
        <x:v>F-04</x:v>
      </x:c>
      <x:c r="B9" s="5" t="str">
        <x:v>Caregiver shift summary and explanation of actions</x:v>
      </x:c>
      <x:c r="C9" s="35" t="n">
        <x:v>5</x:v>
      </x:c>
      <x:c r="D9" s="35" t="n">
        <x:v>2</x:v>
      </x:c>
      <x:c r="E9" s="35" t="n">
        <x:v>1</x:v>
      </x:c>
      <x:c r="F9" s="35" t="n">
        <x:v>2</x:v>
      </x:c>
      <x:c r="G9" s="5" t="str">
        <x:v>Records audit and approval</x:v>
      </x:c>
      <x:c r="H9" s="5" t="str">
        <x:v>Year 1 core</x:v>
      </x:c>
      <x:c r="I9" s="5" t="n">
        <x:f>IF(COUNT(C9:F9)=4,2*C9+(6-D9)+(6-E9)+(6-F9),"MISSING INPUT")</x:f>
        <x:v>23</x:v>
      </x:c>
      <x:c r="J9" s="5" t="n">
        <x:f>IF(ISNUMBER(I9),1+COUNTIFS($I$6:$I$27,"&gt;"&amp;I9)+COUNTIFS($I$6:$I$27,I9,$A$6:$A$27,"&lt;"&amp;A9),"MISSING INPUT")</x:f>
        <x:v>4</x:v>
      </x:c>
    </x:row>
    <x:row r="10" ht="29" customHeight="1">
      <x:c r="A10" s="12" t="str">
        <x:v>F-08</x:v>
      </x:c>
      <x:c r="B10" s="12" t="str">
        <x:v>Battery maintenance and cleaning reminders</x:v>
      </x:c>
      <x:c r="C10" s="35" t="n">
        <x:v>4</x:v>
      </x:c>
      <x:c r="D10" s="35" t="n">
        <x:v>1</x:v>
      </x:c>
      <x:c r="E10" s="35" t="n">
        <x:v>1</x:v>
      </x:c>
      <x:c r="F10" s="35" t="n">
        <x:v>1</x:v>
      </x:c>
      <x:c r="G10" s="12" t="str">
        <x:v>Selected hardware instructions</x:v>
      </x:c>
      <x:c r="H10" s="12" t="str">
        <x:v>Year 1 core</x:v>
      </x:c>
      <x:c r="I10" s="12" t="n">
        <x:f>IF(COUNT(C10:F10)=4,2*C10+(6-D10)+(6-E10)+(6-F10),"MISSING INPUT")</x:f>
        <x:v>23</x:v>
      </x:c>
      <x:c r="J10" s="12" t="n">
        <x:f>IF(ISNUMBER(I10),1+COUNTIFS($I$6:$I$27,"&gt;"&amp;I10)+COUNTIFS($I$6:$I$27,I10,$A$6:$A$27,"&lt;"&amp;A10),"MISSING INPUT")</x:f>
        <x:v>5</x:v>
      </x:c>
    </x:row>
    <x:row r="11" ht="29" customHeight="1">
      <x:c r="A11" s="5" t="str">
        <x:v>F-05</x:v>
      </x:c>
      <x:c r="B11" s="5" t="str">
        <x:v>Daily feelings check-in and comfort preferences</x:v>
      </x:c>
      <x:c r="C11" s="35" t="n">
        <x:v>4</x:v>
      </x:c>
      <x:c r="D11" s="35" t="n">
        <x:v>2</x:v>
      </x:c>
      <x:c r="E11" s="35" t="n">
        <x:v>1</x:v>
      </x:c>
      <x:c r="F11" s="35" t="n">
        <x:v>1</x:v>
      </x:c>
      <x:c r="G11" s="5" t="str">
        <x:v>Consent and human handoff</x:v>
      </x:c>
      <x:c r="H11" s="5" t="str">
        <x:v>Year 1 core</x:v>
      </x:c>
      <x:c r="I11" s="5" t="n">
        <x:f>IF(COUNT(C11:F11)=4,2*C11+(6-D11)+(6-E11)+(6-F11),"MISSING INPUT")</x:f>
        <x:v>22</x:v>
      </x:c>
      <x:c r="J11" s="5" t="n">
        <x:f>IF(ISNUMBER(I11),1+COUNTIFS($I$6:$I$27,"&gt;"&amp;I11)+COUNTIFS($I$6:$I$27,I11,$A$6:$A$27,"&lt;"&amp;A11),"MISSING INPUT")</x:f>
        <x:v>6</x:v>
      </x:c>
    </x:row>
    <x:row r="12" ht="29" customHeight="1">
      <x:c r="A12" s="12" t="str">
        <x:v>F-06</x:v>
      </x:c>
      <x:c r="B12" s="12" t="str">
        <x:v>Privacy mode with visible microphone and camera off</x:v>
      </x:c>
      <x:c r="C12" s="35" t="n">
        <x:v>5</x:v>
      </x:c>
      <x:c r="D12" s="35" t="n">
        <x:v>2</x:v>
      </x:c>
      <x:c r="E12" s="35" t="n">
        <x:v>2</x:v>
      </x:c>
      <x:c r="F12" s="35" t="n">
        <x:v>2</x:v>
      </x:c>
      <x:c r="G12" s="12" t="str">
        <x:v>Capture hardware/software controls</x:v>
      </x:c>
      <x:c r="H12" s="12" t="str">
        <x:v>Year 1 core</x:v>
      </x:c>
      <x:c r="I12" s="12" t="n">
        <x:f>IF(COUNT(C12:F12)=4,2*C12+(6-D12)+(6-E12)+(6-F12),"MISSING INPUT")</x:f>
        <x:v>22</x:v>
      </x:c>
      <x:c r="J12" s="12" t="n">
        <x:f>IF(ISNUMBER(I12),1+COUNTIFS($I$6:$I$27,"&gt;"&amp;I12)+COUNTIFS($I$6:$I$27,I12,$A$6:$A$27,"&lt;"&amp;A12),"MISSING INPUT")</x:f>
        <x:v>7</x:v>
      </x:c>
    </x:row>
    <x:row r="13" ht="29" customHeight="1">
      <x:c r="A13" s="5" t="str">
        <x:v>F-07</x:v>
      </x:c>
      <x:c r="B13" s="5" t="str">
        <x:v>Games stories licensed music and relaxation</x:v>
      </x:c>
      <x:c r="C13" s="35" t="n">
        <x:v>4</x:v>
      </x:c>
      <x:c r="D13" s="35" t="n">
        <x:v>2</x:v>
      </x:c>
      <x:c r="E13" s="35" t="n">
        <x:v>1</x:v>
      </x:c>
      <x:c r="F13" s="35" t="n">
        <x:v>2</x:v>
      </x:c>
      <x:c r="G13" s="5" t="str">
        <x:v>Age presets and content rights</x:v>
      </x:c>
      <x:c r="H13" s="5" t="str">
        <x:v>Year 1 core</x:v>
      </x:c>
      <x:c r="I13" s="5" t="n">
        <x:f>IF(COUNT(C13:F13)=4,2*C13+(6-D13)+(6-E13)+(6-F13),"MISSING INPUT")</x:f>
        <x:v>21</x:v>
      </x:c>
      <x:c r="J13" s="5" t="n">
        <x:f>IF(ISNUMBER(I13),1+COUNTIFS($I$6:$I$27,"&gt;"&amp;I13)+COUNTIFS($I$6:$I$27,I13,$A$6:$A$27,"&lt;"&amp;A13),"MISSING INPUT")</x:f>
        <x:v>8</x:v>
      </x:c>
    </x:row>
    <x:row r="14" ht="29" customHeight="1">
      <x:c r="A14" s="12" t="str">
        <x:v>F-10</x:v>
      </x:c>
      <x:c r="B14" s="12" t="str">
        <x:v>Approved telepresence call</x:v>
      </x:c>
      <x:c r="C14" s="35" t="n">
        <x:v>5</x:v>
      </x:c>
      <x:c r="D14" s="35" t="n">
        <x:v>3</x:v>
      </x:c>
      <x:c r="E14" s="35" t="n">
        <x:v>2</x:v>
      </x:c>
      <x:c r="F14" s="35" t="n">
        <x:v>2</x:v>
      </x:c>
      <x:c r="G14" s="12" t="str">
        <x:v>Consent identity and connection status</x:v>
      </x:c>
      <x:c r="H14" s="12" t="str">
        <x:v>Year 1 core</x:v>
      </x:c>
      <x:c r="I14" s="12" t="n">
        <x:f>IF(COUNT(C14:F14)=4,2*C14+(6-D14)+(6-E14)+(6-F14),"MISSING INPUT")</x:f>
        <x:v>21</x:v>
      </x:c>
      <x:c r="J14" s="12" t="n">
        <x:f>IF(ISNUMBER(I14),1+COUNTIFS($I$6:$I$27,"&gt;"&amp;I14)+COUNTIFS($I$6:$I$27,I14,$A$6:$A$27,"&lt;"&amp;A14),"MISSING INPUT")</x:f>
        <x:v>9</x:v>
      </x:c>
    </x:row>
    <x:row r="15" ht="29" customHeight="1">
      <x:c r="A15" s="5" t="str">
        <x:v>F-09</x:v>
      </x:c>
      <x:c r="B15" s="5" t="str">
        <x:v>Appointment reminders and static wayfinding</x:v>
      </x:c>
      <x:c r="C15" s="35" t="n">
        <x:v>3</x:v>
      </x:c>
      <x:c r="D15" s="35" t="n">
        <x:v>2</x:v>
      </x:c>
      <x:c r="E15" s="35" t="n">
        <x:v>1</x:v>
      </x:c>
      <x:c r="F15" s="35" t="n">
        <x:v>1</x:v>
      </x:c>
      <x:c r="G15" s="5" t="str">
        <x:v>Fictional schedule and map</x:v>
      </x:c>
      <x:c r="H15" s="5" t="str">
        <x:v>Year 1 core</x:v>
      </x:c>
      <x:c r="I15" s="5" t="n">
        <x:f>IF(COUNT(C15:F15)=4,2*C15+(6-D15)+(6-E15)+(6-F15),"MISSING INPUT")</x:f>
        <x:v>20</x:v>
      </x:c>
      <x:c r="J15" s="5" t="n">
        <x:f>IF(ISNUMBER(I15),1+COUNTIFS($I$6:$I$27,"&gt;"&amp;I15)+COUNTIFS($I$6:$I$27,I15,$A$6:$A$27,"&lt;"&amp;A15),"MISSING INPUT")</x:f>
        <x:v>10</x:v>
      </x:c>
    </x:row>
    <x:row r="16" ht="29" customHeight="1">
      <x:c r="A16" s="12" t="str">
        <x:v>F-11</x:v>
      </x:c>
      <x:c r="B16" s="12" t="str">
        <x:v>Teach-back of exact approved instructions</x:v>
      </x:c>
      <x:c r="C16" s="35" t="n">
        <x:v>4</x:v>
      </x:c>
      <x:c r="D16" s="35" t="n">
        <x:v>3</x:v>
      </x:c>
      <x:c r="E16" s="35" t="n">
        <x:v>1</x:v>
      </x:c>
      <x:c r="F16" s="35" t="n">
        <x:v>2</x:v>
      </x:c>
      <x:c r="G16" s="12" t="str">
        <x:v>Human-approved source and no clinical interpretation</x:v>
      </x:c>
      <x:c r="H16" s="12" t="str">
        <x:v>Later candidate</x:v>
      </x:c>
      <x:c r="I16" s="12" t="n">
        <x:f>IF(COUNT(C16:F16)=4,2*C16+(6-D16)+(6-E16)+(6-F16),"MISSING INPUT")</x:f>
        <x:v>20</x:v>
      </x:c>
      <x:c r="J16" s="12" t="n">
        <x:f>IF(ISNUMBER(I16),1+COUNTIFS($I$6:$I$27,"&gt;"&amp;I16)+COUNTIFS($I$6:$I$27,I16,$A$6:$A$27,"&lt;"&amp;A16),"MISSING INPUT")</x:f>
        <x:v>11</x:v>
      </x:c>
    </x:row>
    <x:row r="17" ht="29" customHeight="1">
      <x:c r="A17" s="5" t="str">
        <x:v>F-12</x:v>
      </x:c>
      <x:c r="B17" s="5" t="str">
        <x:v>Supply laundry and meal pickup request relay</x:v>
      </x:c>
      <x:c r="C17" s="35" t="n">
        <x:v>3</x:v>
      </x:c>
      <x:c r="D17" s="35" t="n">
        <x:v>2</x:v>
      </x:c>
      <x:c r="E17" s="35" t="n">
        <x:v>1</x:v>
      </x:c>
      <x:c r="F17" s="35" t="n">
        <x:v>2</x:v>
      </x:c>
      <x:c r="G17" s="5" t="str">
        <x:v>Approved service endpoints</x:v>
      </x:c>
      <x:c r="H17" s="5" t="str">
        <x:v>Later candidate</x:v>
      </x:c>
      <x:c r="I17" s="5" t="n">
        <x:f>IF(COUNT(C17:F17)=4,2*C17+(6-D17)+(6-E17)+(6-F17),"MISSING INPUT")</x:f>
        <x:v>19</x:v>
      </x:c>
      <x:c r="J17" s="5" t="n">
        <x:f>IF(ISNUMBER(I17),1+COUNTIFS($I$6:$I$27,"&gt;"&amp;I17)+COUNTIFS($I$6:$I$27,I17,$A$6:$A$27,"&lt;"&amp;A17),"MISSING INPUT")</x:f>
        <x:v>12</x:v>
      </x:c>
    </x:row>
    <x:row r="18" ht="29" customHeight="1">
      <x:c r="A18" s="12" t="str">
        <x:v>F-20</x:v>
      </x:c>
      <x:c r="B18" s="12" t="str">
        <x:v>Caregiver-loaded cargo drawer</x:v>
      </x:c>
      <x:c r="C18" s="35" t="n">
        <x:v>3</x:v>
      </x:c>
      <x:c r="D18" s="35" t="n">
        <x:v>2</x:v>
      </x:c>
      <x:c r="E18" s="35" t="n">
        <x:v>2</x:v>
      </x:c>
      <x:c r="F18" s="35" t="n">
        <x:v>2</x:v>
      </x:c>
      <x:c r="G18" s="12" t="str">
        <x:v>Mounting load and access review</x:v>
      </x:c>
      <x:c r="H18" s="12" t="str">
        <x:v>Later candidate</x:v>
      </x:c>
      <x:c r="I18" s="12" t="n">
        <x:f>IF(COUNT(C18:F18)=4,2*C18+(6-D18)+(6-E18)+(6-F18),"MISSING INPUT")</x:f>
        <x:v>18</x:v>
      </x:c>
      <x:c r="J18" s="12" t="n">
        <x:f>IF(ISNUMBER(I18),1+COUNTIFS($I$6:$I$27,"&gt;"&amp;I18)+COUNTIFS($I$6:$I$27,I18,$A$6:$A$27,"&lt;"&amp;A18),"MISSING INPUT")</x:f>
        <x:v>13</x:v>
      </x:c>
    </x:row>
    <x:row r="19" ht="29" customHeight="1">
      <x:c r="A19" s="5" t="str">
        <x:v>F-13</x:v>
      </x:c>
      <x:c r="B19" s="5" t="str">
        <x:v>Family messages and approved photos</x:v>
      </x:c>
      <x:c r="C19" s="35" t="n">
        <x:v>3</x:v>
      </x:c>
      <x:c r="D19" s="35" t="n">
        <x:v>3</x:v>
      </x:c>
      <x:c r="E19" s="35" t="n">
        <x:v>2</x:v>
      </x:c>
      <x:c r="F19" s="35" t="n">
        <x:v>2</x:v>
      </x:c>
      <x:c r="G19" s="5" t="str">
        <x:v>Media consent moderation and retention</x:v>
      </x:c>
      <x:c r="H19" s="5" t="str">
        <x:v>Later candidate</x:v>
      </x:c>
      <x:c r="I19" s="5" t="n">
        <x:f>IF(COUNT(C19:F19)=4,2*C19+(6-D19)+(6-E19)+(6-F19),"MISSING INPUT")</x:f>
        <x:v>17</x:v>
      </x:c>
      <x:c r="J19" s="5" t="n">
        <x:f>IF(ISNUMBER(I19),1+COUNTIFS($I$6:$I$27,"&gt;"&amp;I19)+COUNTIFS($I$6:$I$27,I19,$A$6:$A$27,"&lt;"&amp;A19),"MISSING INPUT")</x:f>
        <x:v>14</x:v>
      </x:c>
    </x:row>
    <x:row r="20" ht="29" customHeight="1">
      <x:c r="A20" s="12" t="str">
        <x:v>F-14</x:v>
      </x:c>
      <x:c r="B20" s="12" t="str">
        <x:v>Multilingual interaction</x:v>
      </x:c>
      <x:c r="C20" s="35" t="n">
        <x:v>4</x:v>
      </x:c>
      <x:c r="D20" s="35" t="n">
        <x:v>3</x:v>
      </x:c>
      <x:c r="E20" s="35" t="n">
        <x:v>3</x:v>
      </x:c>
      <x:c r="F20" s="35" t="n">
        <x:v>3</x:v>
      </x:c>
      <x:c r="G20" s="12" t="str">
        <x:v>Human-reviewed translations and accessibility testing</x:v>
      </x:c>
      <x:c r="H20" s="12" t="str">
        <x:v>Later candidate</x:v>
      </x:c>
      <x:c r="I20" s="12" t="n">
        <x:f>IF(COUNT(C20:F20)=4,2*C20+(6-D20)+(6-E20)+(6-F20),"MISSING INPUT")</x:f>
        <x:v>17</x:v>
      </x:c>
      <x:c r="J20" s="12" t="n">
        <x:f>IF(ISNUMBER(I20),1+COUNTIFS($I$6:$I$27,"&gt;"&amp;I20)+COUNTIFS($I$6:$I$27,I20,$A$6:$A$27,"&lt;"&amp;A20),"MISSING INPUT")</x:f>
        <x:v>15</x:v>
      </x:c>
    </x:row>
    <x:row r="21" ht="29" customHeight="1">
      <x:c r="A21" s="5" t="str">
        <x:v>F-15</x:v>
      </x:c>
      <x:c r="B21" s="5" t="str">
        <x:v>Room lights music blinds and temperature controls</x:v>
      </x:c>
      <x:c r="C21" s="35" t="n">
        <x:v>3</x:v>
      </x:c>
      <x:c r="D21" s="35" t="n">
        <x:v>3</x:v>
      </x:c>
      <x:c r="E21" s="35" t="n">
        <x:v>2</x:v>
      </x:c>
      <x:c r="F21" s="35" t="n">
        <x:v>2</x:v>
      </x:c>
      <x:c r="G21" s="5" t="str">
        <x:v>Approved interfaces and permission model</x:v>
      </x:c>
      <x:c r="H21" s="5" t="str">
        <x:v>Later candidate</x:v>
      </x:c>
      <x:c r="I21" s="5" t="n">
        <x:f>IF(COUNT(C21:F21)=4,2*C21+(6-D21)+(6-E21)+(6-F21),"MISSING INPUT")</x:f>
        <x:v>17</x:v>
      </x:c>
      <x:c r="J21" s="5" t="n">
        <x:f>IF(ISNUMBER(I21),1+COUNTIFS($I$6:$I$27,"&gt;"&amp;I21)+COUNTIFS($I$6:$I$27,I21,$A$6:$A$27,"&lt;"&amp;A21),"MISSING INPUT")</x:f>
        <x:v>16</x:v>
      </x:c>
    </x:row>
    <x:row r="22" ht="29" customHeight="1">
      <x:c r="A22" s="12" t="str">
        <x:v>F-19</x:v>
      </x:c>
      <x:c r="B22" s="12" t="str">
        <x:v>Counterbalanced stationary arm</x:v>
      </x:c>
      <x:c r="C22" s="35" t="n">
        <x:v>4</x:v>
      </x:c>
      <x:c r="D22" s="35" t="n">
        <x:v>3</x:v>
      </x:c>
      <x:c r="E22" s="35" t="n">
        <x:v>3</x:v>
      </x:c>
      <x:c r="F22" s="35" t="n">
        <x:v>3</x:v>
      </x:c>
      <x:c r="G22" s="12" t="str">
        <x:v>Fixture structural and pinch review</x:v>
      </x:c>
      <x:c r="H22" s="12" t="str">
        <x:v>Year 1 design option</x:v>
      </x:c>
      <x:c r="I22" s="12" t="n">
        <x:f>IF(COUNT(C22:F22)=4,2*C22+(6-D22)+(6-E22)+(6-F22),"MISSING INPUT")</x:f>
        <x:v>17</x:v>
      </x:c>
      <x:c r="J22" s="12" t="n">
        <x:f>IF(ISNUMBER(I22),1+COUNTIFS($I$6:$I$27,"&gt;"&amp;I22)+COUNTIFS($I$6:$I$27,I22,$A$6:$A$27,"&lt;"&amp;A22),"MISSING INPUT")</x:f>
        <x:v>17</x:v>
      </x:c>
    </x:row>
    <x:row r="23" ht="29" customHeight="1">
      <x:c r="A23" s="5" t="str">
        <x:v>F-21</x:v>
      </x:c>
      <x:c r="B23" s="5" t="str">
        <x:v>Detachable handling module</x:v>
      </x:c>
      <x:c r="C23" s="35" t="n">
        <x:v>4</x:v>
      </x:c>
      <x:c r="D23" s="35" t="n">
        <x:v>3</x:v>
      </x:c>
      <x:c r="E23" s="35" t="n">
        <x:v>3</x:v>
      </x:c>
      <x:c r="F23" s="35" t="n">
        <x:v>3</x:v>
      </x:c>
      <x:c r="G23" s="5" t="str">
        <x:v>Interface retention and separate tests</x:v>
      </x:c>
      <x:c r="H23" s="5" t="str">
        <x:v>Year 1 design option</x:v>
      </x:c>
      <x:c r="I23" s="5" t="n">
        <x:f>IF(COUNT(C23:F23)=4,2*C23+(6-D23)+(6-E23)+(6-F23),"MISSING INPUT")</x:f>
        <x:v>17</x:v>
      </x:c>
      <x:c r="J23" s="5" t="n">
        <x:f>IF(ISNUMBER(I23),1+COUNTIFS($I$6:$I$27,"&gt;"&amp;I23)+COUNTIFS($I$6:$I$27,I23,$A$6:$A$27,"&lt;"&amp;A23),"MISSING INPUT")</x:f>
        <x:v>18</x:v>
      </x:c>
    </x:row>
    <x:row r="24" ht="29" customHeight="1">
      <x:c r="A24" s="12" t="str">
        <x:v>F-16</x:v>
      </x:c>
      <x:c r="B24" s="12" t="str">
        <x:v>Clinician-directed rehabilitation games</x:v>
      </x:c>
      <x:c r="C24" s="35" t="n">
        <x:v>4</x:v>
      </x:c>
      <x:c r="D24" s="35" t="n">
        <x:v>4</x:v>
      </x:c>
      <x:c r="E24" s="35" t="n">
        <x:v>3</x:v>
      </x:c>
      <x:c r="F24" s="35" t="n">
        <x:v>3</x:v>
      </x:c>
      <x:c r="G24" s="12" t="str">
        <x:v>Qualified clinician scripts and separate motion approval</x:v>
      </x:c>
      <x:c r="H24" s="12" t="str">
        <x:v>Later candidate</x:v>
      </x:c>
      <x:c r="I24" s="12" t="n">
        <x:f>IF(COUNT(C24:F24)=4,2*C24+(6-D24)+(6-E24)+(6-F24),"MISSING INPUT")</x:f>
        <x:v>16</x:v>
      </x:c>
      <x:c r="J24" s="12" t="n">
        <x:f>IF(ISNUMBER(I24),1+COUNTIFS($I$6:$I$27,"&gt;"&amp;I24)+COUNTIFS($I$6:$I$27,I24,$A$6:$A$27,"&lt;"&amp;A24),"MISSING INPUT")</x:f>
        <x:v>19</x:v>
      </x:c>
    </x:row>
    <x:row r="25" ht="29" customHeight="1">
      <x:c r="A25" s="5" t="str">
        <x:v>F-17</x:v>
      </x:c>
      <x:c r="B25" s="5" t="str">
        <x:v>Low wheeled supply cart guided by robot</x:v>
      </x:c>
      <x:c r="C25" s="35" t="n">
        <x:v>4</x:v>
      </x:c>
      <x:c r="D25" s="35" t="n">
        <x:v>4</x:v>
      </x:c>
      <x:c r="E25" s="35" t="n">
        <x:v>3</x:v>
      </x:c>
      <x:c r="F25" s="35" t="n">
        <x:v>3</x:v>
      </x:c>
      <x:c r="G25" s="5" t="str">
        <x:v>Coupled stability and braking review</x:v>
      </x:c>
      <x:c r="H25" s="5" t="str">
        <x:v>Later candidate</x:v>
      </x:c>
      <x:c r="I25" s="5" t="n">
        <x:f>IF(COUNT(C25:F25)=4,2*C25+(6-D25)+(6-E25)+(6-F25),"MISSING INPUT")</x:f>
        <x:v>16</x:v>
      </x:c>
      <x:c r="J25" s="5" t="n">
        <x:f>IF(ISNUMBER(I25),1+COUNTIFS($I$6:$I$27,"&gt;"&amp;I25)+COUNTIFS($I$6:$I$27,I25,$A$6:$A$27,"&lt;"&amp;A25),"MISSING INPUT")</x:f>
        <x:v>20</x:v>
      </x:c>
    </x:row>
    <x:row r="26" ht="29" customHeight="1">
      <x:c r="A26" s="12" t="str">
        <x:v>F-18</x:v>
      </x:c>
      <x:c r="B26" s="12" t="str">
        <x:v>Separate powered trolley</x:v>
      </x:c>
      <x:c r="C26" s="35" t="n">
        <x:v>4</x:v>
      </x:c>
      <x:c r="D26" s="35" t="n">
        <x:v>3</x:v>
      </x:c>
      <x:c r="E26" s="35" t="n">
        <x:v>4</x:v>
      </x:c>
      <x:c r="F26" s="35" t="n">
        <x:v>3</x:v>
      </x:c>
      <x:c r="G26" s="12" t="str">
        <x:v>Independent machine safety review</x:v>
      </x:c>
      <x:c r="H26" s="12" t="str">
        <x:v>Later candidate</x:v>
      </x:c>
      <x:c r="I26" s="12" t="n">
        <x:f>IF(COUNT(C26:F26)=4,2*C26+(6-D26)+(6-E26)+(6-F26),"MISSING INPUT")</x:f>
        <x:v>16</x:v>
      </x:c>
      <x:c r="J26" s="12" t="n">
        <x:f>IF(ISNUMBER(I26),1+COUNTIFS($I$6:$I$27,"&gt;"&amp;I26)+COUNTIFS($I$6:$I$27,I26,$A$6:$A$27,"&lt;"&amp;A26),"MISSING INPUT")</x:f>
        <x:v>21</x:v>
      </x:c>
    </x:row>
    <x:row r="27" ht="29" customHeight="1">
      <x:c r="A27" s="5" t="str">
        <x:v>F-22</x:v>
      </x:c>
      <x:c r="B27" s="5" t="str">
        <x:v>5 kg handling payload</x:v>
      </x:c>
      <x:c r="C27" s="35" t="n">
        <x:v>3</x:v>
      </x:c>
      <x:c r="D27" s="35" t="n">
        <x:v>5</x:v>
      </x:c>
      <x:c r="E27" s="35" t="n">
        <x:v>5</x:v>
      </x:c>
      <x:c r="F27" s="35" t="n">
        <x:v>5</x:v>
      </x:c>
      <x:c r="G27" s="5" t="str">
        <x:v>Validated 2 kg subsystem and full redesign analysis</x:v>
      </x:c>
      <x:c r="H27" s="5" t="str">
        <x:v>Later stretch only</x:v>
      </x:c>
      <x:c r="I27" s="5" t="n">
        <x:f>IF(COUNT(C27:F27)=4,2*C27+(6-D27)+(6-E27)+(6-F27),"MISSING INPUT")</x:f>
        <x:v>9</x:v>
      </x:c>
      <x:c r="J27" s="5" t="n">
        <x:f>IF(ISNUMBER(I27),1+COUNTIFS($I$6:$I$27,"&gt;"&amp;I27)+COUNTIFS($I$6:$I$27,I27,$A$6:$A$27,"&lt;"&amp;A27),"MISSING INPUT")</x:f>
        <x:v>22</x:v>
      </x:c>
    </x:row>
    <x:row r="29">
      <x:c r="B29" s="22" t="str">
        <x:v>Score = 2 x benefit + (6-risk) + (6-cost) + (6-time). Rank recalculates; sort rows by rank after editing. Dependency and safety gates override score.</x:v>
      </x:c>
    </x:row>
  </x:sheetData>
  <x:mergeCells>
    <x:mergeCell ref="B29:H30"/>
  </x:mergeCells>
  <x:conditionalFormatting sqref="A1:J29">
    <x:cfRule type="containsText" dxfId="14" priority="1" operator="containsText" text="BLOCKED"/>
    <x:cfRule type="containsText" dxfId="15" priority="2" operator="containsText" text="MISSING INPUT"/>
  </x:conditionalFormatting>
  <x:dataValidations count="1">
    <x:dataValidation type="whole" operator="between" sqref="C6:F27">
      <x:formula1>1</x:formula1>
      <x:formula2>5</x:formula2>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4" hidden="0" customWidth="1"/>
    <x:col min="2" max="2" width="42" hidden="0" customWidth="1"/>
    <x:col min="3" max="3" width="80" hidden="0" customWidth="1"/>
    <x:col min="4" max="4" width="115" hidden="0" customWidth="1"/>
    <x:col min="5" max="5" width="20" hidden="0" customWidth="1"/>
    <x:col min="6" max="6" width="12" hidden="0" customWidth="1"/>
  </x:cols>
  <x:sheetData>
    <x:row r="1">
      <x:c r="A1" s="1"/>
      <x:c r="B1" s="1"/>
      <x:c r="C1" s="1"/>
      <x:c r="D1" s="1"/>
      <x:c r="E1" s="1"/>
      <x:c r="F1" s="1"/>
    </x:row>
    <x:row r="2" ht="25" customHeight="1">
      <x:c r="A2" s="2" t="str">
        <x:v>Make versus buy</x:v>
      </x:c>
      <x:c r="B2" s="1"/>
      <x:c r="C2" s="1"/>
      <x:c r="D2" s="1"/>
      <x:c r="E2" s="1"/>
      <x:c r="F2" s="1"/>
    </x:row>
    <x:row r="3">
      <x:c r="A3" s="1" t="str">
        <x:v>R0.1</x:v>
      </x:c>
      <x:c r="B3" s="1" t="str">
        <x:v>Owner Faisal Farouq</x:v>
      </x:c>
      <x:c r="C3" s="1" t="str">
        <x:v>2026-10-23</x:v>
      </x:c>
      <x:c r="D3" s="1"/>
      <x:c r="E3" s="1"/>
      <x:c r="F3" s="1"/>
    </x:row>
    <x:row r="4">
      <x:c r="A4" s="3"/>
      <x:c r="B4" s="3"/>
      <x:c r="C4" s="3"/>
      <x:c r="D4" s="3"/>
      <x:c r="E4" s="3"/>
      <x:c r="F4" s="3"/>
    </x:row>
    <x:row r="5" ht="34" customHeight="1">
      <x:c r="A5" s="9" t="str">
        <x:v>ID</x:v>
      </x:c>
      <x:c r="B5" s="10" t="str">
        <x:v>Subsystem</x:v>
      </x:c>
      <x:c r="C5" s="10" t="str">
        <x:v>Sourcing decision</x:v>
      </x:c>
      <x:c r="D5" s="10" t="str">
        <x:v>Evidence before commitment</x:v>
      </x:c>
      <x:c r="E5" s="10" t="str">
        <x:v>Requirement</x:v>
      </x:c>
      <x:c r="F5" s="11" t="str">
        <x:v>Gate</x:v>
      </x:c>
    </x:row>
    <x:row r="6" ht="39" customHeight="1">
      <x:c r="A6" s="12" t="str">
        <x:v>MB-01</x:v>
      </x:c>
      <x:c r="B6" s="12" t="str">
        <x:v>Lower-body actuator assemblies</x:v>
      </x:c>
      <x:c r="C6" s="12" t="str">
        <x:v>Buy commercial candidate; make adapters only after sizing</x:v>
      </x:c>
      <x:c r="D6" s="12" t="str">
        <x:v>Rated torque-speed and duty curves, thermal test, brakes/backdrive, bearing loads, bus/regen, driver inclusion and STEP interfaces</x:v>
      </x:c>
      <x:c r="E6" s="12" t="str">
        <x:v>JB-R-044</x:v>
      </x:c>
      <x:c r="F6" s="12" t="str">
        <x:v>G3</x:v>
      </x:c>
    </x:row>
    <x:row r="7" ht="29" customHeight="1">
      <x:c r="A7" s="5" t="str">
        <x:v>MB-02</x:v>
      </x:c>
      <x:c r="B7" s="5" t="str">
        <x:v>Load-bearing skeleton and fixtures</x:v>
      </x:c>
      <x:c r="C7" s="5" t="str">
        <x:v>Qualified shop fabricates released CAD; prototype envelopes in low-energy materials</x:v>
      </x:c>
      <x:c r="D7" s="5" t="str">
        <x:v>Structural calculations, tolerance stack, material certificates as needed, inspection record and qualified named fabricator</x:v>
      </x:c>
      <x:c r="E7" s="5" t="str">
        <x:v>JB-R-044</x:v>
      </x:c>
      <x:c r="F7" s="5" t="str">
        <x:v>G4</x:v>
      </x:c>
    </x:row>
    <x:row r="8" ht="39" customHeight="1">
      <x:c r="A8" s="12" t="str">
        <x:v>MB-03</x:v>
      </x:c>
      <x:c r="B8" s="12" t="str">
        <x:v>Fall protection anchors and support rig</x:v>
      </x:c>
      <x:c r="C8" s="12" t="str">
        <x:v>Buy/rent engineered rated equipment with qualified rigging service</x:v>
      </x:c>
      <x:c r="D8" s="12" t="str">
        <x:v>Robot load path and dynamic arrest analysis, installation/access approval, ratings and inspection; no improvised human harness assumption</x:v>
      </x:c>
      <x:c r="E8" s="12" t="str">
        <x:v>JB-R-008</x:v>
      </x:c>
      <x:c r="F8" s="12" t="str">
        <x:v>G2</x:v>
      </x:c>
    </x:row>
    <x:row r="9" ht="29" customHeight="1">
      <x:c r="A9" s="5" t="str">
        <x:v>MB-04</x:v>
      </x:c>
      <x:c r="B9" s="5" t="str">
        <x:v>Battery charger and protected distribution</x:v>
      </x:c>
      <x:c r="C9" s="5" t="str">
        <x:v>Buy matched protected pack/charger; qualified electrical assembly</x:v>
      </x:c>
      <x:c r="D9" s="5" t="str">
        <x:v>Datasheets, fault currents, BMS, isolation, regen path, fusing and charge/thermal instructions</x:v>
      </x:c>
      <x:c r="E9" s="5" t="str">
        <x:v>JB-R-047</x:v>
      </x:c>
      <x:c r="F9" s="5" t="str">
        <x:v>G3</x:v>
      </x:c>
    </x:row>
    <x:row r="10" ht="39" customHeight="1">
      <x:c r="A10" s="12" t="str">
        <x:v>MB-05</x:v>
      </x:c>
      <x:c r="B10" s="12" t="str">
        <x:v>Safety chain</x:v>
      </x:c>
      <x:c r="C10" s="12" t="str">
        <x:v>Buy suitable safety components; reviewed integration</x:v>
      </x:c>
      <x:c r="D10" s="12" t="str">
        <x:v>Safety requirements, required integrity determination, fault response, diagnostic coverage and measured stop behavior; hobby MCU not sole safety authority</x:v>
      </x:c>
      <x:c r="E10" s="12" t="str">
        <x:v>JB-R-013</x:v>
      </x:c>
      <x:c r="F10" s="12" t="str">
        <x:v>G3</x:v>
      </x:c>
    </x:row>
    <x:row r="11" ht="29" customHeight="1">
      <x:c r="A11" s="5" t="str">
        <x:v>MB-06</x:v>
      </x:c>
      <x:c r="B11" s="5" t="str">
        <x:v>Feet sensing and compliant sole</x:v>
      </x:c>
      <x:c r="C11" s="5" t="str">
        <x:v>Buy sensors; make structural foot and replaceable sole</x:v>
      </x:c>
      <x:c r="D11" s="5" t="str">
        <x:v>Force range, calibration, friction testing, pressure/contact distribution and fastener access</x:v>
      </x:c>
      <x:c r="E11" s="5" t="str">
        <x:v>JB-R-011</x:v>
      </x:c>
      <x:c r="F11" s="5" t="str">
        <x:v>G3</x:v>
      </x:c>
    </x:row>
    <x:row r="12" ht="29" customHeight="1">
      <x:c r="A12" s="12" t="str">
        <x:v>MB-07</x:v>
      </x:c>
      <x:c r="B12" s="12" t="str">
        <x:v>Panels and cosmetic parts</x:v>
      </x:c>
      <x:c r="C12" s="12" t="str">
        <x:v>Make removable lightweight shells via low-cost commercial process</x:v>
      </x:c>
      <x:c r="D12" s="12" t="str">
        <x:v>Material density/thickness, clearance sweep, vent area, flame/thermal review, edge and service checks</x:v>
      </x:c>
      <x:c r="E12" s="12" t="str">
        <x:v>JB-R-012</x:v>
      </x:c>
      <x:c r="F12" s="12" t="str">
        <x:v>G4</x:v>
      </x:c>
    </x:row>
    <x:row r="13" ht="29" customHeight="1">
      <x:c r="A13" s="5" t="str">
        <x:v>MB-08</x:v>
      </x:c>
      <x:c r="B13" s="5" t="str">
        <x:v>Compute perception audio display</x:v>
      </x:c>
      <x:c r="C13" s="5" t="str">
        <x:v>Reuse verified equipment or buy commercial</x:v>
      </x:c>
      <x:c r="D13" s="5" t="str">
        <x:v>Ownership, drivers, latency, capture disable and thermal/power budget</x:v>
      </x:c>
      <x:c r="E13" s="5" t="str">
        <x:v>JB-R-046</x:v>
      </x:c>
      <x:c r="F13" s="5" t="str">
        <x:v>G1</x:v>
      </x:c>
    </x:row>
    <x:row r="14" ht="29" customHeight="1">
      <x:c r="A14" s="12" t="str">
        <x:v>MB-09</x:v>
      </x:c>
      <x:c r="B14" s="12" t="str">
        <x:v>Care software records and communication</x:v>
      </x:c>
      <x:c r="C14" s="12" t="str">
        <x:v>Make deterministic services; buy licensed model/telepresence service only if needed</x:v>
      </x:c>
      <x:c r="D14" s="12" t="str">
        <x:v>Offline-safe functions, exact provenance, consent, audit, allowlist, bounded AI tools and content licenses</x:v>
      </x:c>
      <x:c r="E14" s="12" t="str">
        <x:v>JB-R-016</x:v>
      </x:c>
      <x:c r="F14" s="12" t="str">
        <x:v>G1</x:v>
      </x:c>
    </x:row>
    <x:row r="15" ht="39" customHeight="1">
      <x:c r="A15" s="5" t="str">
        <x:v>MB-10</x:v>
      </x:c>
      <x:c r="B15" s="5" t="str">
        <x:v>Supported handling</x:v>
      </x:c>
      <x:c r="C15" s="5" t="str">
        <x:v>Buy counterbalance/retention components; fabricate qualified fixture or detachable module</x:v>
      </x:c>
      <x:c r="D15" s="5" t="str">
        <x:v>2 kg load path, module self-weight, reach, thermal duty, grip retention, catch tray and stop tests</x:v>
      </x:c>
      <x:c r="E15" s="5" t="str">
        <x:v>JB-R-040</x:v>
      </x:c>
      <x:c r="F15" s="5" t="str">
        <x:v>G3</x:v>
      </x:c>
    </x:row>
  </x:sheetData>
  <x:conditionalFormatting sqref="A1:F15">
    <x:cfRule type="containsText" dxfId="16" priority="1" operator="containsText" text="BLOCKED"/>
    <x:cfRule type="containsText" dxfId="17" priority="2" operator="containsText" text="MISSING INPUT"/>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40" hidden="0" customWidth="1"/>
    <x:col min="3" max="3" width="20" hidden="0" customWidth="1"/>
    <x:col min="4" max="4" width="65" hidden="0" customWidth="1"/>
    <x:col min="5" max="5" width="130" hidden="0" customWidth="1"/>
    <x:col min="6" max="6" width="105" hidden="0" customWidth="1"/>
    <x:col min="7" max="7" width="18" hidden="0" customWidth="1"/>
  </x:cols>
  <x:sheetData>
    <x:row r="1">
      <x:c r="A1" s="1"/>
      <x:c r="B1" s="1"/>
      <x:c r="C1" s="1"/>
      <x:c r="D1" s="1"/>
      <x:c r="E1" s="1"/>
      <x:c r="F1" s="1"/>
      <x:c r="G1" s="1"/>
    </x:row>
    <x:row r="2" ht="25" customHeight="1">
      <x:c r="A2" s="2" t="str">
        <x:v>Roadmap</x:v>
      </x:c>
      <x:c r="B2" s="1"/>
      <x:c r="C2" s="1"/>
      <x:c r="D2" s="1"/>
      <x:c r="E2" s="1"/>
      <x:c r="F2" s="1"/>
      <x:c r="G2" s="1"/>
    </x:row>
    <x:row r="3">
      <x:c r="A3" s="1" t="str">
        <x:v>R0.1</x:v>
      </x:c>
      <x:c r="B3" s="1" t="str">
        <x:v>Owner Faisal Farouq</x:v>
      </x:c>
      <x:c r="C3" s="1" t="str">
        <x:v>2026-10-23</x:v>
      </x:c>
      <x:c r="D3" s="1"/>
      <x:c r="E3" s="1"/>
      <x:c r="F3" s="1"/>
      <x:c r="G3" s="1"/>
    </x:row>
    <x:row r="4">
      <x:c r="A4" s="3"/>
      <x:c r="B4" s="3"/>
      <x:c r="C4" s="3"/>
      <x:c r="D4" s="3"/>
      <x:c r="E4" s="3"/>
      <x:c r="F4" s="3"/>
      <x:c r="G4" s="3"/>
    </x:row>
    <x:row r="5" ht="34" customHeight="1">
      <x:c r="A5" s="9" t="str">
        <x:v>Gate</x:v>
      </x:c>
      <x:c r="B5" s="10" t="str">
        <x:v>Name</x:v>
      </x:c>
      <x:c r="C5" s="10" t="str">
        <x:v>Timing</x:v>
      </x:c>
      <x:c r="D5" s="10" t="str">
        <x:v>Authority</x:v>
      </x:c>
      <x:c r="E5" s="10" t="str">
        <x:v>Required evidence</x:v>
      </x:c>
      <x:c r="F5" s="10" t="str">
        <x:v>Permitted release</x:v>
      </x:c>
      <x:c r="G5" s="11" t="str">
        <x:v>Current result</x:v>
      </x:c>
    </x:row>
    <x:row r="6" ht="29" customHeight="1">
      <x:c r="A6" s="12" t="str">
        <x:v>G0</x:v>
      </x:c>
      <x:c r="B6" s="12" t="str">
        <x:v>Baseline acceptance</x:v>
      </x:c>
      <x:c r="C6" s="12" t="str">
        <x:v>Month 1</x:v>
      </x:c>
      <x:c r="D6" s="12" t="str">
        <x:v>Faisal Farouq</x:v>
      </x:c>
      <x:c r="E6" s="12" t="str">
        <x:v>Accepted mission, exclusions, budget accounting, five decisions, role appointments, assumption dispositions</x:v>
      </x:c>
      <x:c r="F6" s="12" t="str">
        <x:v>Documentation work only; no purchase authorization</x:v>
      </x:c>
      <x:c r="G6" s="12" t="str">
        <x:v>BLOCKED</x:v>
      </x:c>
    </x:row>
    <x:row r="7" ht="29" customHeight="1">
      <x:c r="A7" s="5" t="str">
        <x:v>G1</x:v>
      </x:c>
      <x:c r="B7" s="5" t="str">
        <x:v>Software baseline</x:v>
      </x:c>
      <x:c r="C7" s="5" t="str">
        <x:v>Months 1 to 3</x:v>
      </x:c>
      <x:c r="D7" s="5" t="str">
        <x:v>Faisal Farouq plus named workflow/security reviewers</x:v>
      </x:c>
      <x:c r="E7" s="5" t="str">
        <x:v>Laptop demo, fictional-data boundary, consent, audit, medication and report tests JB-V-10 to 19 and 21</x:v>
      </x:c>
      <x:c r="F7" s="5" t="str">
        <x:v>Low-cost software expenditure only after owner spending authorization</x:v>
      </x:c>
      <x:c r="G7" s="5" t="str">
        <x:v>BLOCKED</x:v>
      </x:c>
    </x:row>
    <x:row r="8" ht="29" customHeight="1">
      <x:c r="A8" s="12" t="str">
        <x:v>G2</x:v>
      </x:c>
      <x:c r="B8" s="12" t="str">
        <x:v>Architecture and facility readiness</x:v>
      </x:c>
      <x:c r="C8" s="12" t="str">
        <x:v>Months 2 to 4</x:v>
      </x:c>
      <x:c r="D8" s="12" t="str">
        <x:v>Named independent mechanical controls electrical and rigging reviewers</x:v>
      </x:c>
      <x:c r="E8" s="12" t="str">
        <x:v>Frozen ten-joint CAD interfaces; mass allocation; facility and fall envelope; support concept; hazard dispositions</x:v>
      </x:c>
      <x:c r="F8" s="12" t="str">
        <x:v>Request quotes and detailed fabrication bids; no expensive order</x:v>
      </x:c>
      <x:c r="G8" s="12" t="str">
        <x:v>BLOCKED</x:v>
      </x:c>
    </x:row>
    <x:row r="9" ht="39" customHeight="1">
      <x:c r="A9" s="5" t="str">
        <x:v>G3</x:v>
      </x:c>
      <x:c r="B9" s="5" t="str">
        <x:v>Procurement release</x:v>
      </x:c>
      <x:c r="C9" s="5" t="str">
        <x:v>Months 4 to 5</x:v>
      </x:c>
      <x:c r="D9" s="5" t="str">
        <x:v>Faisal Farouq plus independent engineering reviewer</x:v>
      </x:c>
      <x:c r="E9" s="5" t="str">
        <x:v>Accepted requirements; torque-speed/duty/thermal/power models; simulated standing and three-step evidence; vendor data; landed BOM &lt;=10000 USD; interface drawings; named fabricator; inspection plan</x:v>
      </x:c>
      <x:c r="F9" s="5" t="str">
        <x:v>Specific BOM lines only, signed amount and configuration; no generic purchasing authority</x:v>
      </x:c>
      <x:c r="G9" s="5" t="str">
        <x:v>BLOCKED</x:v>
      </x:c>
    </x:row>
    <x:row r="10" ht="29" customHeight="1">
      <x:c r="A10" s="12" t="str">
        <x:v>G4</x:v>
      </x:c>
      <x:c r="B10" s="12" t="str">
        <x:v>Fabrication release</x:v>
      </x:c>
      <x:c r="C10" s="12" t="str">
        <x:v>Months 5 to 6</x:v>
      </x:c>
      <x:c r="D10" s="12" t="str">
        <x:v>Named qualified fabricator and independent reviewer</x:v>
      </x:c>
      <x:c r="E10" s="12" t="str">
        <x:v>Released drawings; material/load-path calculations; stop/support design; incoming inspection; fabrication process and inspection plan</x:v>
      </x:c>
      <x:c r="F10" s="12" t="str">
        <x:v>Named authorized shop and released revision only</x:v>
      </x:c>
      <x:c r="G10" s="12" t="str">
        <x:v>BLOCKED</x:v>
      </x:c>
    </x:row>
    <x:row r="11" ht="29" customHeight="1">
      <x:c r="A11" s="5" t="str">
        <x:v>G5</x:v>
      </x:c>
      <x:c r="B11" s="5" t="str">
        <x:v>Fixture and electrical acceptance</x:v>
      </x:c>
      <x:c r="C11" s="5" t="str">
        <x:v>Months 6 to 8</x:v>
      </x:c>
      <x:c r="D11" s="5" t="str">
        <x:v>Named test director and controls/electrical reviewers</x:v>
      </x:c>
      <x:c r="E11" s="5" t="str">
        <x:v>Stage 2 sensors; 3 actuator module; 4 power; 5 safety; 6 joint; 7 fixture leg evidence; stop-time and load-retention acceptance</x:v>
      </x:c>
      <x:c r="F11" s="5" t="str">
        <x:v>Restrained unloaded integration only under test permit</x:v>
      </x:c>
      <x:c r="G11" s="5" t="str">
        <x:v>BLOCKED</x:v>
      </x:c>
    </x:row>
    <x:row r="12" ht="29" customHeight="1">
      <x:c r="A12" s="12" t="str">
        <x:v>G6</x:v>
      </x:c>
      <x:c r="B12" s="12" t="str">
        <x:v>Supported locomotion progression</x:v>
      </x:c>
      <x:c r="C12" s="12" t="str">
        <x:v>Months 8 to 10</x:v>
      </x:c>
      <x:c r="D12" s="12" t="str">
        <x:v>Named test director and mechanical/rigging reviewers</x:v>
      </x:c>
      <x:c r="E12" s="12" t="str">
        <x:v>Stage 8 lower body; 9 standing; 10 weight shift; 11 single step; 12 three steps; 13 repeat; separate passed evidence at each stage</x:v>
      </x:c>
      <x:c r="F12" s="12" t="str">
        <x:v>Only next approved motion stage within documented limits</x:v>
      </x:c>
      <x:c r="G12" s="12" t="str">
        <x:v>BLOCKED</x:v>
      </x:c>
    </x:row>
    <x:row r="13" ht="29" customHeight="1">
      <x:c r="A13" s="5" t="str">
        <x:v>G7</x:v>
      </x:c>
      <x:c r="B13" s="5" t="str">
        <x:v>Handling and enclosure acceptance</x:v>
      </x:c>
      <x:c r="C13" s="5" t="str">
        <x:v>Months 10 to 11</x:v>
      </x:c>
      <x:c r="D13" s="5" t="str">
        <x:v>Named handling reviewer and test director</x:v>
      </x:c>
      <x:c r="E13" s="5" t="str">
        <x:v>Stage 14 stationary handling; stage 15 shell clearance and thermal evidence; physical isolation from gait</x:v>
      </x:c>
      <x:c r="F13" s="5" t="str">
        <x:v>Supported handling and approved enclosed motion configurations only</x:v>
      </x:c>
      <x:c r="G13" s="5" t="str">
        <x:v>BLOCKED</x:v>
      </x:c>
    </x:row>
    <x:row r="14" ht="29" customHeight="1">
      <x:c r="A14" s="12" t="str">
        <x:v>G8</x:v>
      </x:c>
      <x:c r="B14" s="12" t="str">
        <x:v>Integrated research release</x:v>
      </x:c>
      <x:c r="C14" s="12" t="str">
        <x:v>Month 12</x:v>
      </x:c>
      <x:c r="D14" s="12" t="str">
        <x:v>Faisal Farouq plus independent evidence reviewer</x:v>
      </x:c>
      <x:c r="E14" s="12" t="str">
        <x:v>Stage 16 complete caregiver demo; all verification outcomes reviewed; limitations, costs, configuration and release archive</x:v>
      </x:c>
      <x:c r="F14" s="12" t="str">
        <x:v>Controlled research demonstration under signed test plan; no public/patient operation approval</x:v>
      </x:c>
      <x:c r="G14" s="12" t="str">
        <x:v>BLOCKED</x:v>
      </x:c>
    </x:row>
  </x:sheetData>
  <x:conditionalFormatting sqref="A1:G14">
    <x:cfRule type="containsText" dxfId="18" priority="1" operator="containsText" text="BLOCKED"/>
    <x:cfRule type="containsText" dxfId="19" priority="2" operator="containsText" text="MISSING INPUT"/>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4" hidden="0" customWidth="1"/>
    <x:col min="2" max="2" width="32" hidden="0" customWidth="1"/>
    <x:col min="3" max="3" width="70" hidden="0" customWidth="1"/>
    <x:col min="4" max="4" width="70" hidden="0" customWidth="1"/>
    <x:col min="5" max="5" width="18" hidden="0" customWidth="1"/>
    <x:col min="6" max="6" width="105" hidden="0" customWidth="1"/>
  </x:cols>
  <x:sheetData>
    <x:row r="1">
      <x:c r="A1" s="1"/>
      <x:c r="B1" s="1"/>
      <x:c r="C1" s="1"/>
      <x:c r="D1" s="1"/>
      <x:c r="E1" s="1"/>
    </x:row>
    <x:row r="2" ht="25" customHeight="1">
      <x:c r="A2" s="2" t="str">
        <x:v>Assumptions</x:v>
      </x:c>
      <x:c r="B2" s="1"/>
      <x:c r="C2" s="1"/>
      <x:c r="D2" s="1"/>
      <x:c r="E2" s="1"/>
    </x:row>
    <x:row r="3">
      <x:c r="A3" s="1" t="str">
        <x:v>R0.1</x:v>
      </x:c>
      <x:c r="B3" s="1" t="str">
        <x:v>Owner Faisal Farouq</x:v>
      </x:c>
      <x:c r="C3" s="1" t="str">
        <x:v>2026-10-23</x:v>
      </x:c>
      <x:c r="D3" s="1"/>
      <x:c r="E3" s="1"/>
    </x:row>
    <x:row r="4">
      <x:c r="A4" s="3"/>
      <x:c r="B4" s="3"/>
      <x:c r="C4" s="3"/>
      <x:c r="D4" s="3"/>
      <x:c r="E4" s="3"/>
    </x:row>
    <x:row r="5" ht="34" customHeight="1">
      <x:c r="A5" s="9" t="str">
        <x:v>ID</x:v>
      </x:c>
      <x:c r="B5" s="10" t="str">
        <x:v>Subject</x:v>
      </x:c>
      <x:c r="C5" s="10" t="str">
        <x:v>Provisional assumption</x:v>
      </x:c>
      <x:c r="D5" s="10" t="str">
        <x:v>Limitation or unknown</x:v>
      </x:c>
      <x:c r="E5" s="11" t="str">
        <x:v>Resolve by</x:v>
      </x:c>
    </x:row>
    <x:row r="6" ht="39" customHeight="1">
      <x:c r="A6" s="12" t="str">
        <x:v>A-01</x:v>
      </x:c>
      <x:c r="B6" s="12" t="str">
        <x:v>Geometry</x:v>
      </x:c>
      <x:c r="C6" s="12" t="str">
        <x:v>0.43 m thigh and shank; 0.32 x 0.22 m feet; 0.34 m nominal foot center spacing</x:v>
      </x:c>
      <x:c r="D6" s="12" t="str">
        <x:v>Provisional envelope, no collision or stability proof</x:v>
      </x:c>
      <x:c r="E6" s="12" t="str">
        <x:v>G2</x:v>
      </x:c>
    </x:row>
    <x:row r="7" ht="29" customHeight="1">
      <x:c r="A7" s="5" t="str">
        <x:v>A-02</x:v>
      </x:c>
      <x:c r="B7" s="5" t="str">
        <x:v>Joint topology</x:v>
      </x:c>
      <x:c r="C7" s="5" t="str">
        <x:v>Hip roll/pitch, knee pitch, ankle pitch/roll per leg; no hip yaw</x:v>
      </x:c>
      <x:c r="D7" s="5" t="str">
        <x:v>Straight-line tethered research only; owner must accept before freeze</x:v>
      </x:c>
      <x:c r="E7" s="5" t="str">
        <x:v>G2</x:v>
      </x:c>
    </x:row>
    <x:row r="8" ht="29" customHeight="1">
      <x:c r="A8" s="12" t="str">
        <x:v>A-03</x:v>
      </x:c>
      <x:c r="B8" s="12" t="str">
        <x:v>Mass</x:v>
      </x:c>
      <x:c r="C8" s="12" t="str">
        <x:v>47.8 kg component allocation plus 7.2 kg growth reserve</x:v>
      </x:c>
      <x:c r="D8" s="12" t="str">
        <x:v>No measured or CAD-derived mass yet</x:v>
      </x:c>
      <x:c r="E8" s="12" t="str">
        <x:v>G2</x:v>
      </x:c>
    </x:row>
    <x:row r="9" ht="39" customHeight="1">
      <x:c r="A9" s="5" t="str">
        <x:v>A-04</x:v>
      </x:c>
      <x:c r="B9" s="5" t="str">
        <x:v>Power</x:v>
      </x:c>
      <x:c r="C9" s="5" t="str">
        <x:v>48 V 8 Ah; 0.80 usable fraction; 0.60 electromechanical efficiency; 60 W electronics</x:v>
      </x:c>
      <x:c r="D9" s="5" t="str">
        <x:v>Energy example only; pack chemistry and driver compatibility unknown</x:v>
      </x:c>
      <x:c r="E9" s="5" t="str">
        <x:v>G3</x:v>
      </x:c>
    </x:row>
    <x:row r="10" ht="39" customHeight="1">
      <x:c r="A10" s="12" t="str">
        <x:v>A-05</x:v>
      </x:c>
      <x:c r="B10" s="12" t="str">
        <x:v>Facility</x:v>
      </x:c>
      <x:c r="C10" s="12" t="str">
        <x:v>Controlled flat indoor area and independently rated robot arrest can be obtained</x:v>
      </x:c>
      <x:c r="D10" s="12" t="str">
        <x:v>No facility, anchors, clearance or access confirmed</x:v>
      </x:c>
      <x:c r="E10" s="12" t="str">
        <x:v>G2</x:v>
      </x:c>
    </x:row>
    <x:row r="11" ht="39" customHeight="1">
      <x:c r="A11" s="5" t="str">
        <x:v>A-06</x:v>
      </x:c>
      <x:c r="B11" s="5" t="str">
        <x:v>People</x:v>
      </x:c>
      <x:c r="C11" s="5" t="str">
        <x:v>Owner coordinates; specialized reviews/fabrication assigned only to named qualified people</x:v>
      </x:c>
      <x:c r="D11" s="5" t="str">
        <x:v>No professional sign-off or labor availability established</x:v>
      </x:c>
      <x:c r="E11" s="5" t="str">
        <x:v>G0</x:v>
      </x:c>
    </x:row>
    <x:row r="12" ht="39" customHeight="1">
      <x:c r="A12" s="12" t="str">
        <x:v>A-07</x:v>
      </x:c>
      <x:c r="B12" s="12" t="str">
        <x:v>Budget</x:v>
      </x:c>
      <x:c r="C12" s="12" t="str">
        <x:v>Non-actuator allowances total USD 7000 with volunteer engineering labor and no facility construction</x:v>
      </x:c>
      <x:c r="D12" s="12" t="str">
        <x:v>Unquoted and may be insufficient; full economic cost unknown</x:v>
      </x:c>
      <x:c r="E12" s="12" t="str">
        <x:v>G3</x:v>
      </x:c>
    </x:row>
    <x:row r="13" ht="29" customHeight="1">
      <x:c r="A13" s="5" t="str">
        <x:v>A-08</x:v>
      </x:c>
      <x:c r="B13" s="5" t="str">
        <x:v>Payload</x:v>
      </x:c>
      <x:c r="C13" s="5" t="str">
        <x:v>2 kg inert test object; module mass 3 kg included onboard; fixture external</x:v>
      </x:c>
      <x:c r="D13" s="5" t="str">
        <x:v>Support method and reach require owner decision and engineering review</x:v>
      </x:c>
      <x:c r="E13" s="5" t="str">
        <x:v>G2</x:v>
      </x:c>
    </x:row>
    <x:row r="14" ht="29" customHeight="1">
      <x:c r="A14" s="12" t="str">
        <x:v>A-09</x:v>
      </x:c>
      <x:c r="B14" s="12" t="str">
        <x:v>Data</x:v>
      </x:c>
      <x:c r="C14" s="12" t="str">
        <x:v>All identities records and measurements fictional; local-first mock receiver</x:v>
      </x:c>
      <x:c r="D14" s="12" t="str">
        <x:v>No recipient approved and no communication credentials provided</x:v>
      </x:c>
      <x:c r="E14" s="12" t="str">
        <x:v>G1</x:v>
      </x:c>
    </x:row>
    <x:row r="15" ht="29" customHeight="1">
      <x:c r="A15" s="5" t="str">
        <x:v>A-10</x:v>
      </x:c>
      <x:c r="B15" s="5" t="str">
        <x:v>Calendar</x:v>
      </x:c>
      <x:c r="C15" s="5" t="str">
        <x:v>Month 1 begins after baseline acceptance; indicative 2 Nov 2026 to 1 Nov 2027</x:v>
      </x:c>
      <x:c r="D15" s="5" t="str">
        <x:v>Dates shift with approval, quotes, fabrication and staffing</x:v>
      </x:c>
      <x:c r="E15" s="5" t="str">
        <x:v>G0</x:v>
      </x:c>
    </x:row>
    <x:row r="16" ht="29" customHeight="1">
      <x:c r="A16" s="12" t="str">
        <x:v>A-11</x:v>
      </x:c>
      <x:c r="B16" s="12" t="str">
        <x:v>Appearance</x:v>
      </x:c>
      <x:c r="C16" s="12" t="str">
        <x:v>Written fallback description is visual baseline</x:v>
      </x:c>
      <x:c r="D16" s="12" t="str">
        <x:v>Concept image absent; no invented image details</x:v>
      </x:c>
      <x:c r="E16" s="12" t="str">
        <x:v>G0</x:v>
      </x:c>
    </x:row>
    <x:row r="17" ht="29" customHeight="1">
      <x:c r="A17" s="5" t="str">
        <x:v>A-12</x:v>
      </x:c>
      <x:c r="B17" s="5" t="str">
        <x:v>Research protocol</x:v>
      </x:c>
      <x:c r="C17" s="5" t="str">
        <x:v>Adult scripted testers first; no real patients/minors as study participants</x:v>
      </x:c>
      <x:c r="D17" s="5" t="str">
        <x:v>Human-subject and institutional requirements require separate review</x:v>
      </x:c>
      <x:c r="E17" s="5" t="str">
        <x:v>G1</x:v>
      </x:c>
    </x:row>
    <x:row r="20">
      <x:c r="A20" s="36" t="str">
        <x:v>Source inputs and provenance</x:v>
      </x:c>
    </x:row>
    <x:row r="22" ht="95" customHeight="1">
      <x:c r="A22" s="39" t="str">
        <x:v>Source ID</x:v>
      </x:c>
      <x:c r="B22" s="39" t="str">
        <x:v>Title</x:v>
      </x:c>
      <x:c r="C22" s="39" t="str">
        <x:v>Location</x:v>
      </x:c>
      <x:c r="D22" s="39" t="str">
        <x:v>Type</x:v>
      </x:c>
      <x:c r="E22" s="39" t="str">
        <x:v>Checked date</x:v>
      </x:c>
      <x:c r="F22" s="39" t="str">
        <x:v>Use and limitation</x:v>
      </x:c>
    </x:row>
    <x:row r="23" ht="95" customHeight="1">
      <x:c r="A23" s="29" t="str">
        <x:v>SRC-01</x:v>
      </x:c>
      <x:c r="B23" s="29" t="str">
        <x:v>Owner brief</x:v>
      </x:c>
      <x:c r="C23" s="29" t="str">
        <x:v>Pasted text supplied in this chat</x:v>
      </x:c>
      <x:c r="D23" s="29" t="str">
        <x:v>User input</x:v>
      </x:c>
      <x:c r="E23" s="29" t="str">
        <x:v>2026-10-23</x:v>
      </x:c>
      <x:c r="F23" s="29" t="str">
        <x:v>Source of project limits; no concept image supplied.</x:v>
      </x:c>
    </x:row>
    <x:row r="24" ht="95" customHeight="1">
      <x:c r="A24" s="29" t="str">
        <x:v>SRC-02</x:v>
      </x:c>
      <x:c r="B24" s="29" t="str">
        <x:v>CubeMars AK80-64 manufacturer page</x:v>
      </x:c>
      <x:c r="C24" s="29" t="str">
        <x:v>https://www.cubemars.com/goods.php?id=1143</x:v>
      </x:c>
      <x:c r="D24" s="29" t="str">
        <x:v>Manufacturer listing</x:v>
      </x:c>
      <x:c r="E24" s="29" t="str">
        <x:v>2026-10-23</x:v>
      </x:c>
      <x:c r="F24" s="29" t="str">
        <x:v>Displayed starting price USD 889.90; 48 N m rated, 120 N m peak, 0.85 kg. Driver configuration, duty conditions and landed price require a written quote.</x:v>
      </x:c>
    </x:row>
    <x:row r="25" ht="95" customHeight="1">
      <x:c r="A25" s="29" t="str">
        <x:v>SRC-03</x:v>
      </x:c>
      <x:c r="B25" s="29" t="str">
        <x:v>ISO 13482 official scope</x:v>
      </x:c>
      <x:c r="C25" s="29" t="str">
        <x:v>https://www.iso.org/standard/53820.html</x:v>
      </x:c>
      <x:c r="D25" s="29" t="str">
        <x:v>Standards publisher</x:v>
      </x:c>
      <x:c r="E25" s="29" t="str">
        <x:v>2026-10-23</x:v>
      </x:c>
      <x:c r="F25" s="29" t="str">
        <x:v>Personal care robot safety reference; medical device robots outside this published scope. Edition applicability and full text review remain open.</x:v>
      </x:c>
    </x:row>
    <x:row r="26" ht="95" customHeight="1">
      <x:c r="A26" s="29" t="str">
        <x:v>SRC-04</x:v>
      </x:c>
      <x:c r="B26" s="29" t="str">
        <x:v>ISO 13850 official scope</x:v>
      </x:c>
      <x:c r="C26" s="29" t="str">
        <x:v>https://www.iso.org/standard/59970.html</x:v>
      </x:c>
      <x:c r="D26" s="29" t="str">
        <x:v>Standards publisher</x:v>
      </x:c>
      <x:c r="E26" s="29" t="str">
        <x:v>2026-10-23</x:v>
      </x:c>
      <x:c r="F26" s="29" t="str">
        <x:v>Emergency stop design reference; not a brake, fall-arrest or complete functional-safety design.</x:v>
      </x:c>
    </x:row>
    <x:row r="27" ht="95" customHeight="1">
      <x:c r="A27" s="29" t="str">
        <x:v>SRC-05</x:v>
      </x:c>
      <x:c r="B27" s="29" t="str">
        <x:v>MuJoCo modeling documentation</x:v>
      </x:c>
      <x:c r="C27" s="29" t="str">
        <x:v>https://mujoco.readthedocs.io/en/latest/modeling.html</x:v>
      </x:c>
      <x:c r="D27" s="29" t="str">
        <x:v>Official documentation</x:v>
      </x:c>
      <x:c r="E27" s="29" t="str">
        <x:v>2026-10-23</x:v>
      </x:c>
      <x:c r="F27" s="29" t="str">
        <x:v>Model force and control clamping; version must be pinned before model implementation.</x:v>
      </x:c>
    </x:row>
    <x:row r="28" ht="95" customHeight="1">
      <x:c r="A28" s="29" t="str">
        <x:v>SRC-06</x:v>
      </x:c>
      <x:c r="B28" s="29" t="str">
        <x:v>FHIR R4 Observation</x:v>
      </x:c>
      <x:c r="C28" s="29" t="str">
        <x:v>https://hl7.org/fhir/R4/observation.html</x:v>
      </x:c>
      <x:c r="D28" s="29" t="str">
        <x:v>HL7 specification</x:v>
      </x:c>
      <x:c r="E28" s="29" t="str">
        <x:v>2026-10-23</x:v>
      </x:c>
      <x:c r="F28" s="29" t="str">
        <x:v>Reference for local mock observations; no conformance or live interoperability claim.</x:v>
      </x:c>
    </x:row>
    <x:row r="29" ht="95" customHeight="1">
      <x:c r="A29" s="29" t="str">
        <x:v>SRC-07</x:v>
      </x:c>
      <x:c r="B29" s="29" t="str">
        <x:v>FHIR R4 AuditEvent</x:v>
      </x:c>
      <x:c r="C29" s="29" t="str">
        <x:v>https://hl7.org/fhir/R4/auditevent.html</x:v>
      </x:c>
      <x:c r="D29" s="29" t="str">
        <x:v>HL7 specification</x:v>
      </x:c>
      <x:c r="E29" s="29" t="str">
        <x:v>2026-10-23</x:v>
      </x:c>
      <x:c r="F29" s="29" t="str">
        <x:v>Reference for access and security-event records.</x:v>
      </x:c>
    </x:row>
    <x:row r="30" ht="95" customHeight="1">
      <x:c r="A30" s="29" t="str">
        <x:v>SRC-08</x:v>
      </x:c>
      <x:c r="B30" s="29" t="str">
        <x:v>FHIR R4 Provenance</x:v>
      </x:c>
      <x:c r="C30" s="29" t="str">
        <x:v>https://hl7.org/fhir/R4/provenance.html</x:v>
      </x:c>
      <x:c r="D30" s="29" t="str">
        <x:v>HL7 specification</x:v>
      </x:c>
      <x:c r="E30" s="29" t="str">
        <x:v>2026-10-23</x:v>
      </x:c>
      <x:c r="F30" s="29" t="str">
        <x:v>Reference for record origin and revision history.</x:v>
      </x:c>
    </x:row>
  </x:sheetData>
  <x:conditionalFormatting sqref="A1:F30">
    <x:cfRule type="containsText" dxfId="20" priority="1" operator="containsText" text="BLOCKED"/>
    <x:cfRule type="containsText" dxfId="21" priority="2" operator="containsText" text="MISSING INPUT"/>
  </x:conditionalFormatting>
  <x:pageMargins left="0.7" right="0.7" top="0.75" bottom="0.75" header="0.3" footer="0.3"/>
</x:worksheet>
</file>

<file path=xl/worksheets/sheet1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7" hidden="0" customWidth="1"/>
    <x:col min="2" max="2" width="43" hidden="0" customWidth="1"/>
    <x:col min="3" max="3" width="115" hidden="0" customWidth="1"/>
    <x:col min="4" max="4" width="110" hidden="0" customWidth="1"/>
    <x:col min="5" max="5" width="40" hidden="0" customWidth="1"/>
    <x:col min="6" max="6" width="20" hidden="0" customWidth="1"/>
  </x:cols>
  <x:sheetData>
    <x:row r="1">
      <x:c r="A1" s="1"/>
      <x:c r="B1" s="1"/>
      <x:c r="C1" s="1"/>
      <x:c r="D1" s="1"/>
      <x:c r="E1" s="1"/>
      <x:c r="F1" s="1"/>
    </x:row>
    <x:row r="2" ht="25" customHeight="1">
      <x:c r="A2" s="2" t="str">
        <x:v>Decisions</x:v>
      </x:c>
      <x:c r="B2" s="1"/>
      <x:c r="C2" s="1"/>
      <x:c r="D2" s="1"/>
      <x:c r="E2" s="1"/>
      <x:c r="F2" s="1"/>
    </x:row>
    <x:row r="3">
      <x:c r="A3" s="1" t="str">
        <x:v>R0.1</x:v>
      </x:c>
      <x:c r="B3" s="1" t="str">
        <x:v>Owner Faisal Farouq</x:v>
      </x:c>
      <x:c r="C3" s="1" t="str">
        <x:v>2026-10-23</x:v>
      </x:c>
      <x:c r="D3" s="1"/>
      <x:c r="E3" s="1"/>
      <x:c r="F3" s="1"/>
    </x:row>
    <x:row r="4">
      <x:c r="A4" s="3"/>
      <x:c r="B4" s="3"/>
      <x:c r="C4" s="3"/>
      <x:c r="D4" s="3"/>
      <x:c r="E4" s="3"/>
      <x:c r="F4" s="3"/>
    </x:row>
    <x:row r="5" ht="34" customHeight="1">
      <x:c r="A5" s="9" t="str">
        <x:v>Decision ID</x:v>
      </x:c>
      <x:c r="B5" s="10" t="str">
        <x:v>Topic</x:v>
      </x:c>
      <x:c r="C5" s="10" t="str">
        <x:v>Proposed disposition</x:v>
      </x:c>
      <x:c r="D5" s="10" t="str">
        <x:v>Consequence</x:v>
      </x:c>
      <x:c r="E5" s="10" t="str">
        <x:v>Status</x:v>
      </x:c>
      <x:c r="F5" s="11" t="str">
        <x:v>Gate</x:v>
      </x:c>
    </x:row>
    <x:row r="6" ht="39" customHeight="1">
      <x:c r="A6" s="12" t="str">
        <x:v>D-01</x:v>
      </x:c>
      <x:c r="B6" s="12" t="str">
        <x:v>Budget and walking feasibility</x:v>
      </x:c>
      <x:c r="C6" s="12" t="str">
        <x:v>Retain USD 10000 cap; authorize quotation and no-spend engineering only; require credible whole-system route before actuator commitment.</x:v>
      </x:c>
      <x:c r="D6" s="12" t="str">
        <x:v>USD 300 per complete lower-body assembly affordable under current allowances versus USD 889.90 displayed starting-price reference.</x:v>
      </x:c>
      <x:c r="E6" s="12" t="str">
        <x:v>BLOCKED pending owner decision</x:v>
      </x:c>
      <x:c r="F6" s="12" t="str">
        <x:v>G0 to G3</x:v>
      </x:c>
    </x:row>
    <x:row r="7" ht="39" customHeight="1">
      <x:c r="A7" s="5" t="str">
        <x:v>D-02</x:v>
      </x:c>
      <x:c r="B7" s="5" t="str">
        <x:v>Facilities and accountable qualified people</x:v>
      </x:c>
      <x:c r="C7" s="5" t="str">
        <x:v>Name test director, controls/electrical/mechanical reviewers, rigging provider and fabricator; confirm controlled facility and access costs.</x:v>
      </x:c>
      <x:c r="D7" s="5" t="str">
        <x:v>No walking or load testing can be released without these roles and a reviewed power-independent support system.</x:v>
      </x:c>
      <x:c r="E7" s="5" t="str">
        <x:v>BLOCKED pending appointments</x:v>
      </x:c>
      <x:c r="F7" s="5" t="str">
        <x:v>G0 to G2</x:v>
      </x:c>
    </x:row>
    <x:row r="8" ht="29" customHeight="1">
      <x:c r="A8" s="12" t="str">
        <x:v>D-03</x:v>
      </x:c>
      <x:c r="B8" s="12" t="str">
        <x:v>Ten-joint topology and motion scope</x:v>
      </x:c>
      <x:c r="C8" s="12" t="str">
        <x:v>Accept the proposed five joints per leg with no hip yaw for straight-line tethered steps, or request architecture rework.</x:v>
      </x:c>
      <x:c r="D8" s="12" t="str">
        <x:v>Adding hip yaw while retaining both ankle axes creates 12 lower-body joints; dropping ankle roll changes balance control.</x:v>
      </x:c>
      <x:c r="E8" s="12" t="str">
        <x:v>REWORK pending topology decision</x:v>
      </x:c>
      <x:c r="F8" s="12" t="str">
        <x:v>G2</x:v>
      </x:c>
    </x:row>
    <x:row r="9" ht="39" customHeight="1">
      <x:c r="A9" s="5" t="str">
        <x:v>D-04</x:v>
      </x:c>
      <x:c r="B9" s="5" t="str">
        <x:v>Handling arrangement and reach</x:v>
      </x:c>
      <x:c r="C9" s="5" t="str">
        <x:v>Choose a stationary counterbalanced or detachable supported module; use provisional 0.30 m horizontal reach and 0.10 m vertical travel for analysis.</x:v>
      </x:c>
      <x:c r="D9" s="5" t="str">
        <x:v>2 kg at 0.30 m adds 5.89 N m before arm self-weight, acceleration, friction or margin; 5 kg adds 14.72 N m.</x:v>
      </x:c>
      <x:c r="E9" s="5" t="str">
        <x:v>REWORK pending handling decision</x:v>
      </x:c>
      <x:c r="F9" s="5" t="str">
        <x:v>G2</x:v>
      </x:c>
    </x:row>
    <x:row r="10" ht="39" customHeight="1">
      <x:c r="A10" s="12" t="str">
        <x:v>D-05</x:v>
      </x:c>
      <x:c r="B10" s="12" t="str">
        <x:v>Software scope consent and approved recipient</x:v>
      </x:c>
      <x:c r="C10" s="12" t="str">
        <x:v>Name one consenting test recipient and choose local mock communication, five interface presets and fictional fixtures; approve retention/recording policy.</x:v>
      </x:c>
      <x:c r="D10" s="12" t="str">
        <x:v>No actual recipient message is authorized by this package; allowlist and per-report confirmation remain required.</x:v>
      </x:c>
      <x:c r="E10" s="12" t="str">
        <x:v>REWORK pending workflow decision</x:v>
      </x:c>
      <x:c r="F10" s="12" t="str">
        <x:v>G1</x:v>
      </x:c>
    </x:row>
  </x:sheetData>
  <x:conditionalFormatting sqref="A1:F10">
    <x:cfRule type="containsText" dxfId="22" priority="1" operator="containsText" text="BLOCKED"/>
    <x:cfRule type="containsText" dxfId="23" priority="2" operator="containsText" text="MISSING INPUT"/>
  </x:conditionalFormatting>
  <x:pageMargins left="0.7" right="0.7" top="0.75" bottom="0.75" header="0.3" footer="0.3"/>
</x:worksheet>
</file>

<file path=xl/worksheets/sheet1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8" hidden="0" customWidth="1"/>
    <x:col min="2" max="2" width="115" hidden="0" customWidth="1"/>
    <x:col min="3" max="3" width="115" hidden="0" customWidth="1"/>
  </x:cols>
  <x:sheetData>
    <x:row r="1">
      <x:c r="A1" s="1"/>
      <x:c r="B1" s="1"/>
      <x:c r="C1" s="1"/>
    </x:row>
    <x:row r="2" ht="25" customHeight="1">
      <x:c r="A2" s="2" t="str">
        <x:v>Access</x:v>
      </x:c>
      <x:c r="B2" s="1"/>
      <x:c r="C2" s="1"/>
    </x:row>
    <x:row r="3">
      <x:c r="A3" s="1" t="str">
        <x:v>R0.1</x:v>
      </x:c>
      <x:c r="B3" s="1" t="str">
        <x:v>Owner Faisal Farouq</x:v>
      </x:c>
      <x:c r="C3" s="1" t="str">
        <x:v>2026-10-23</x:v>
      </x:c>
    </x:row>
    <x:row r="4">
      <x:c r="A4" s="3"/>
      <x:c r="B4" s="3"/>
      <x:c r="C4" s="3"/>
    </x:row>
    <x:row r="5" ht="34" customHeight="1">
      <x:c r="A5" s="9" t="str">
        <x:v>Role</x:v>
      </x:c>
      <x:c r="B5" s="10" t="str">
        <x:v>Allowed action</x:v>
      </x:c>
      <x:c r="C5" s="11" t="str">
        <x:v>Authority boundary</x:v>
      </x:c>
    </x:row>
    <x:row r="6" ht="29" customHeight="1">
      <x:c r="A6" s="12" t="str">
        <x:v>Owner Faisal Farouq</x:v>
      </x:c>
      <x:c r="B6" s="12" t="str">
        <x:v>Approve scope budgets and reviewer appointments</x:v>
      </x:c>
      <x:c r="C6" s="12" t="str">
        <x:v>Cannot substitute for specialist competence; no automatic physical-task authority</x:v>
      </x:c>
    </x:row>
    <x:row r="7" ht="29" customHeight="1">
      <x:c r="A7" s="5" t="str">
        <x:v>Patient test actor</x:v>
      </x:c>
      <x:c r="B7" s="5" t="str">
        <x:v>View own fictional profile; choose activity; confirm note and report; request human</x:v>
      </x:c>
      <x:c r="C7" s="5" t="str">
        <x:v>No safety-limit or medication-instruction edits</x:v>
      </x:c>
    </x:row>
    <x:row r="8" ht="29" customHeight="1">
      <x:c r="A8" s="12" t="str">
        <x:v>Authorized caregiver test actor</x:v>
      </x:c>
      <x:c r="B8" s="12" t="str">
        <x:v>Enter fictional notes and original medication instructions; confirm revisions</x:v>
      </x:c>
      <x:c r="C8" s="12" t="str">
        <x:v>No autonomous clinical decisions delegated to robot</x:v>
      </x:c>
    </x:row>
    <x:row r="9" ht="29" customHeight="1">
      <x:c r="A9" s="5" t="str">
        <x:v>Companion model</x:v>
      </x:c>
      <x:c r="B9" s="5" t="str">
        <x:v>Read minimized consented fictional context; propose typed drafts and approved skill requests</x:v>
      </x:c>
      <x:c r="C9" s="5" t="str">
        <x:v>No motor bus, raw DB writes, recipients, safety limits or transmission credentials</x:v>
      </x:c>
    </x:row>
    <x:row r="10" ht="29" customHeight="1">
      <x:c r="A10" s="12" t="str">
        <x:v>Record and medication services</x:v>
      </x:c>
      <x:c r="B10" s="12" t="str">
        <x:v>Validate/commit authorized transactions and append versions</x:v>
      </x:c>
      <x:c r="C10" s="12" t="str">
        <x:v>No unaudited mutation; no dosing engine</x:v>
      </x:c>
    </x:row>
    <x:row r="11" ht="29" customHeight="1">
      <x:c r="A11" s="5" t="str">
        <x:v>Communication service</x:v>
      </x:c>
      <x:c r="B11" s="5" t="str">
        <x:v>Send exact approved snapshot to allowlisted mock recipient</x:v>
      </x:c>
      <x:c r="C11" s="5" t="str">
        <x:v>No unapproved content/recipient; no false review or emergency claims</x:v>
      </x:c>
    </x:row>
    <x:row r="12" ht="29" customHeight="1">
      <x:c r="A12" s="12" t="str">
        <x:v>Qualified test director and operator</x:v>
      </x:c>
      <x:c r="B12" s="12" t="str">
        <x:v>Execute only signed test permit and released configuration</x:v>
      </x:c>
      <x:c r="C12" s="12" t="str">
        <x:v>Must be named before physical task; cannot waive independent review</x:v>
      </x:c>
    </x:row>
    <x:row r="13" ht="29" customHeight="1">
      <x:c r="A13" s="5" t="str">
        <x:v>Qualified safety and engineering reviewers</x:v>
      </x:c>
      <x:c r="B13" s="5" t="str">
        <x:v>Review within documented competence; sign exact scope and limits</x:v>
      </x:c>
      <x:c r="C13" s="5" t="str">
        <x:v>Unassigned until appointed; no sign-off implied</x:v>
      </x:c>
    </x:row>
    <x:row r="14" ht="29" customHeight="1">
      <x:c r="A14" s="12" t="str">
        <x:v>Safety controller and stop hardware</x:v>
      </x:c>
      <x:c r="B14" s="12" t="str">
        <x:v>Inhibit hazardous motion independently</x:v>
      </x:c>
      <x:c r="C14" s="12" t="str">
        <x:v>No conversational dependency; reset does not restart</x:v>
      </x:c>
    </x:row>
    <x:row r="15" ht="29" customHeight="1">
      <x:c r="A15" s="5" t="str">
        <x:v>Evidence service</x:v>
      </x:c>
      <x:c r="B15" s="5" t="str">
        <x:v>Append synchronized logs and configuration hashes</x:v>
      </x:c>
      <x:c r="C15" s="5" t="str">
        <x:v>No ability to command motion or rewrite original evidence</x:v>
      </x:c>
    </x:row>
  </x:sheetData>
  <x:conditionalFormatting sqref="A1:C15">
    <x:cfRule type="containsText" dxfId="24" priority="1" operator="containsText" text="BLOCKED"/>
    <x:cfRule type="containsText" dxfId="25" priority="2" operator="containsText" text="MISSING INPUT"/>
  </x:conditionalFormatting>
  <x:pageMargins left="0.7" right="0.7" top="0.75" bottom="0.75" header="0.3" footer="0.3"/>
</x:worksheet>
</file>